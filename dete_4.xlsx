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ECON\Desktop\DETE\Variables finales\FINAL\"/>
    </mc:Choice>
  </mc:AlternateContent>
  <xr:revisionPtr revIDLastSave="0" documentId="13_ncr:1_{05EC0F8E-A367-46B1-836D-7AE002F4F7D0}" xr6:coauthVersionLast="36" xr6:coauthVersionMax="36" xr10:uidLastSave="{00000000-0000-0000-0000-000000000000}"/>
  <bookViews>
    <workbookView xWindow="0" yWindow="0" windowWidth="28800" windowHeight="12900" xr2:uid="{00000000-000D-0000-FFFF-FFFF00000000}"/>
  </bookViews>
  <sheets>
    <sheet name="dete" sheetId="1" r:id="rId1"/>
    <sheet name="Descripción" sheetId="2" r:id="rId2"/>
    <sheet name="Hoja1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S70" i="3" l="1"/>
  <c r="DR70" i="3"/>
  <c r="DQ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F70" i="3"/>
  <c r="AE70" i="3"/>
  <c r="AD70" i="3"/>
  <c r="AC70" i="3"/>
  <c r="AB70" i="3"/>
  <c r="AA70" i="3"/>
  <c r="Z70" i="3"/>
  <c r="Y70" i="3"/>
  <c r="W70" i="3"/>
  <c r="V70" i="3"/>
  <c r="U70" i="3"/>
  <c r="T70" i="3"/>
  <c r="S70" i="3"/>
  <c r="R70" i="3"/>
  <c r="Q70" i="3"/>
  <c r="P70" i="3"/>
  <c r="O70" i="3"/>
  <c r="N70" i="3"/>
  <c r="M70" i="3"/>
  <c r="L70" i="3"/>
  <c r="J70" i="3"/>
  <c r="I70" i="3"/>
  <c r="G70" i="3"/>
  <c r="E70" i="3"/>
  <c r="D70" i="3"/>
  <c r="C70" i="3"/>
  <c r="B70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F69" i="3"/>
  <c r="AE69" i="3"/>
  <c r="AD69" i="3"/>
  <c r="AC69" i="3"/>
  <c r="AB69" i="3"/>
  <c r="AA69" i="3"/>
  <c r="Z69" i="3"/>
  <c r="Y69" i="3"/>
  <c r="W69" i="3"/>
  <c r="V69" i="3"/>
  <c r="U69" i="3"/>
  <c r="T69" i="3"/>
  <c r="S69" i="3"/>
  <c r="R69" i="3"/>
  <c r="Q69" i="3"/>
  <c r="P69" i="3"/>
  <c r="O69" i="3"/>
  <c r="N69" i="3"/>
  <c r="M69" i="3"/>
  <c r="L69" i="3"/>
  <c r="J69" i="3"/>
  <c r="I69" i="3"/>
  <c r="G69" i="3"/>
  <c r="E69" i="3"/>
  <c r="D69" i="3"/>
  <c r="C69" i="3"/>
  <c r="B69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F68" i="3"/>
  <c r="AE68" i="3"/>
  <c r="AD68" i="3"/>
  <c r="AC68" i="3"/>
  <c r="AB68" i="3"/>
  <c r="AA68" i="3"/>
  <c r="Z68" i="3"/>
  <c r="Y68" i="3"/>
  <c r="W68" i="3"/>
  <c r="V68" i="3"/>
  <c r="U68" i="3"/>
  <c r="T68" i="3"/>
  <c r="S68" i="3"/>
  <c r="R68" i="3"/>
  <c r="Q68" i="3"/>
  <c r="P68" i="3"/>
  <c r="O68" i="3"/>
  <c r="N68" i="3"/>
  <c r="M68" i="3"/>
  <c r="L68" i="3"/>
  <c r="J68" i="3"/>
  <c r="I68" i="3"/>
  <c r="G68" i="3"/>
  <c r="E68" i="3"/>
  <c r="D68" i="3"/>
  <c r="C68" i="3"/>
  <c r="B68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F67" i="3"/>
  <c r="AE67" i="3"/>
  <c r="AD67" i="3"/>
  <c r="AC67" i="3"/>
  <c r="AB67" i="3"/>
  <c r="AA67" i="3"/>
  <c r="Z67" i="3"/>
  <c r="Y67" i="3"/>
  <c r="W67" i="3"/>
  <c r="V67" i="3"/>
  <c r="U67" i="3"/>
  <c r="T67" i="3"/>
  <c r="S67" i="3"/>
  <c r="R67" i="3"/>
  <c r="Q67" i="3"/>
  <c r="P67" i="3"/>
  <c r="O67" i="3"/>
  <c r="N67" i="3"/>
  <c r="M67" i="3"/>
  <c r="L67" i="3"/>
  <c r="J67" i="3"/>
  <c r="I67" i="3"/>
  <c r="G67" i="3"/>
  <c r="E67" i="3"/>
  <c r="D67" i="3"/>
  <c r="C67" i="3"/>
  <c r="B67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J66" i="3"/>
  <c r="I66" i="3"/>
  <c r="G66" i="3"/>
  <c r="E66" i="3"/>
  <c r="D66" i="3"/>
  <c r="C66" i="3"/>
  <c r="B66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F65" i="3"/>
  <c r="AE65" i="3"/>
  <c r="AD65" i="3"/>
  <c r="AC65" i="3"/>
  <c r="AB65" i="3"/>
  <c r="AA65" i="3"/>
  <c r="Z65" i="3"/>
  <c r="Y65" i="3"/>
  <c r="W65" i="3"/>
  <c r="V65" i="3"/>
  <c r="U65" i="3"/>
  <c r="T65" i="3"/>
  <c r="S65" i="3"/>
  <c r="R65" i="3"/>
  <c r="Q65" i="3"/>
  <c r="P65" i="3"/>
  <c r="O65" i="3"/>
  <c r="N65" i="3"/>
  <c r="M65" i="3"/>
  <c r="L65" i="3"/>
  <c r="J65" i="3"/>
  <c r="I65" i="3"/>
  <c r="G65" i="3"/>
  <c r="E65" i="3"/>
  <c r="D65" i="3"/>
  <c r="C65" i="3"/>
  <c r="B65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J64" i="3"/>
  <c r="I64" i="3"/>
  <c r="G64" i="3"/>
  <c r="E64" i="3"/>
  <c r="D64" i="3"/>
  <c r="C64" i="3"/>
  <c r="B64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J63" i="3"/>
  <c r="I63" i="3"/>
  <c r="G63" i="3"/>
  <c r="E63" i="3"/>
  <c r="D63" i="3"/>
  <c r="C63" i="3"/>
  <c r="B63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J62" i="3"/>
  <c r="I62" i="3"/>
  <c r="G62" i="3"/>
  <c r="E62" i="3"/>
  <c r="D62" i="3"/>
  <c r="C62" i="3"/>
  <c r="B62" i="3"/>
  <c r="DS61" i="3"/>
  <c r="DR61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J61" i="3"/>
  <c r="I61" i="3"/>
  <c r="G61" i="3"/>
  <c r="E61" i="3"/>
  <c r="D61" i="3"/>
  <c r="C61" i="3"/>
  <c r="B61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J60" i="3"/>
  <c r="I60" i="3"/>
  <c r="G60" i="3"/>
  <c r="E60" i="3"/>
  <c r="D60" i="3"/>
  <c r="C60" i="3"/>
  <c r="B60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G59" i="3"/>
  <c r="E59" i="3"/>
  <c r="D59" i="3"/>
  <c r="C59" i="3"/>
  <c r="B59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J58" i="3"/>
  <c r="I58" i="3"/>
  <c r="G58" i="3"/>
  <c r="E58" i="3"/>
  <c r="D58" i="3"/>
  <c r="C58" i="3"/>
  <c r="B58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J57" i="3"/>
  <c r="I57" i="3"/>
  <c r="G57" i="3"/>
  <c r="E57" i="3"/>
  <c r="D57" i="3"/>
  <c r="C57" i="3"/>
  <c r="B57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J56" i="3"/>
  <c r="I56" i="3"/>
  <c r="G56" i="3"/>
  <c r="E56" i="3"/>
  <c r="D56" i="3"/>
  <c r="C56" i="3"/>
  <c r="B56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J55" i="3"/>
  <c r="I55" i="3"/>
  <c r="G55" i="3"/>
  <c r="E55" i="3"/>
  <c r="D55" i="3"/>
  <c r="C55" i="3"/>
  <c r="B55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BV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J54" i="3"/>
  <c r="I54" i="3"/>
  <c r="G54" i="3"/>
  <c r="E54" i="3"/>
  <c r="D54" i="3"/>
  <c r="C54" i="3"/>
  <c r="B54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J53" i="3"/>
  <c r="I53" i="3"/>
  <c r="G53" i="3"/>
  <c r="E53" i="3"/>
  <c r="D53" i="3"/>
  <c r="C53" i="3"/>
  <c r="B53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J52" i="3"/>
  <c r="I52" i="3"/>
  <c r="G52" i="3"/>
  <c r="E52" i="3"/>
  <c r="D52" i="3"/>
  <c r="C52" i="3"/>
  <c r="B52" i="3"/>
  <c r="BL49" i="3"/>
  <c r="BR48" i="3"/>
  <c r="AL47" i="3"/>
  <c r="AN46" i="3"/>
  <c r="AM46" i="3"/>
  <c r="AL46" i="3"/>
  <c r="AK46" i="3"/>
  <c r="AJ46" i="3"/>
  <c r="AI46" i="3"/>
  <c r="AH46" i="3"/>
  <c r="AG46" i="3"/>
  <c r="AF46" i="3"/>
  <c r="AE46" i="3"/>
  <c r="AD46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DA47" i="3" s="1"/>
  <c r="CZ45" i="3"/>
  <c r="CY45" i="3"/>
  <c r="CX45" i="3"/>
  <c r="CW45" i="3"/>
  <c r="CV45" i="3"/>
  <c r="CU45" i="3"/>
  <c r="CT45" i="3"/>
  <c r="CS45" i="3"/>
  <c r="CR45" i="3"/>
  <c r="CQ45" i="3"/>
  <c r="CP45" i="3"/>
  <c r="CO45" i="3"/>
  <c r="CO47" i="3" s="1"/>
  <c r="CN45" i="3"/>
  <c r="CM45" i="3"/>
  <c r="CL45" i="3"/>
  <c r="CK45" i="3"/>
  <c r="CJ45" i="3"/>
  <c r="CI45" i="3"/>
  <c r="CH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J45" i="3"/>
  <c r="I45" i="3"/>
  <c r="G45" i="3"/>
  <c r="E45" i="3"/>
  <c r="D45" i="3"/>
  <c r="C45" i="3"/>
  <c r="B45" i="3"/>
  <c r="BE44" i="3"/>
  <c r="BE70" i="3" s="1"/>
  <c r="K44" i="3"/>
  <c r="H44" i="3"/>
  <c r="F44" i="3"/>
  <c r="BE43" i="3"/>
  <c r="BE69" i="3" s="1"/>
  <c r="K43" i="3"/>
  <c r="H43" i="3"/>
  <c r="F43" i="3"/>
  <c r="BE42" i="3"/>
  <c r="BE68" i="3" s="1"/>
  <c r="K42" i="3"/>
  <c r="H42" i="3"/>
  <c r="F42" i="3"/>
  <c r="CG41" i="3"/>
  <c r="CG67" i="3" s="1"/>
  <c r="CF41" i="3"/>
  <c r="CF67" i="3" s="1"/>
  <c r="CE41" i="3"/>
  <c r="CE67" i="3" s="1"/>
  <c r="CD41" i="3"/>
  <c r="CD67" i="3" s="1"/>
  <c r="CC41" i="3"/>
  <c r="CC67" i="3" s="1"/>
  <c r="CB41" i="3"/>
  <c r="CB67" i="3" s="1"/>
  <c r="CA41" i="3"/>
  <c r="CA67" i="3" s="1"/>
  <c r="BZ41" i="3"/>
  <c r="BZ67" i="3" s="1"/>
  <c r="BY41" i="3"/>
  <c r="BY67" i="3" s="1"/>
  <c r="BX41" i="3"/>
  <c r="BX67" i="3" s="1"/>
  <c r="BW41" i="3"/>
  <c r="BW67" i="3" s="1"/>
  <c r="BV41" i="3"/>
  <c r="BV67" i="3" s="1"/>
  <c r="BU41" i="3"/>
  <c r="BU67" i="3" s="1"/>
  <c r="BT41" i="3"/>
  <c r="BT67" i="3" s="1"/>
  <c r="BE41" i="3"/>
  <c r="K41" i="3"/>
  <c r="H41" i="3"/>
  <c r="F41" i="3"/>
  <c r="BE40" i="3"/>
  <c r="K40" i="3"/>
  <c r="H40" i="3"/>
  <c r="F40" i="3"/>
  <c r="BE39" i="3"/>
  <c r="K39" i="3"/>
  <c r="H39" i="3"/>
  <c r="F39" i="3"/>
  <c r="BE38" i="3"/>
  <c r="K38" i="3"/>
  <c r="H38" i="3"/>
  <c r="F38" i="3"/>
  <c r="BE37" i="3"/>
  <c r="K37" i="3"/>
  <c r="H37" i="3"/>
  <c r="F37" i="3"/>
  <c r="BE36" i="3"/>
  <c r="K36" i="3"/>
  <c r="H36" i="3"/>
  <c r="F36" i="3"/>
  <c r="BE35" i="3"/>
  <c r="K35" i="3"/>
  <c r="H35" i="3"/>
  <c r="F35" i="3"/>
  <c r="BE34" i="3"/>
  <c r="K34" i="3"/>
  <c r="H34" i="3"/>
  <c r="F34" i="3"/>
  <c r="BE33" i="3"/>
  <c r="K33" i="3"/>
  <c r="H33" i="3"/>
  <c r="F33" i="3"/>
  <c r="BE32" i="3"/>
  <c r="K32" i="3"/>
  <c r="H32" i="3"/>
  <c r="F32" i="3"/>
  <c r="BE31" i="3"/>
  <c r="K31" i="3"/>
  <c r="H31" i="3"/>
  <c r="F31" i="3"/>
  <c r="BE30" i="3"/>
  <c r="BE56" i="3" s="1"/>
  <c r="K30" i="3"/>
  <c r="H30" i="3"/>
  <c r="F30" i="3"/>
  <c r="BE29" i="3"/>
  <c r="BE55" i="3" s="1"/>
  <c r="K29" i="3"/>
  <c r="H29" i="3"/>
  <c r="F29" i="3"/>
  <c r="CG28" i="3"/>
  <c r="CG54" i="3" s="1"/>
  <c r="CF28" i="3"/>
  <c r="CF54" i="3" s="1"/>
  <c r="CE28" i="3"/>
  <c r="CE54" i="3" s="1"/>
  <c r="CD28" i="3"/>
  <c r="CD54" i="3" s="1"/>
  <c r="CC28" i="3"/>
  <c r="CC54" i="3" s="1"/>
  <c r="CB28" i="3"/>
  <c r="CB54" i="3" s="1"/>
  <c r="CA28" i="3"/>
  <c r="CA54" i="3" s="1"/>
  <c r="BZ28" i="3"/>
  <c r="BZ54" i="3" s="1"/>
  <c r="BY28" i="3"/>
  <c r="BY54" i="3" s="1"/>
  <c r="BX28" i="3"/>
  <c r="BX54" i="3" s="1"/>
  <c r="BW28" i="3"/>
  <c r="BW54" i="3" s="1"/>
  <c r="BV28" i="3"/>
  <c r="BU28" i="3"/>
  <c r="BU54" i="3" s="1"/>
  <c r="BT28" i="3"/>
  <c r="K28" i="3"/>
  <c r="H28" i="3"/>
  <c r="F28" i="3"/>
  <c r="BE27" i="3"/>
  <c r="BE53" i="3" s="1"/>
  <c r="K27" i="3"/>
  <c r="H27" i="3"/>
  <c r="F27" i="3"/>
  <c r="CG26" i="3"/>
  <c r="CF26" i="3"/>
  <c r="CE26" i="3"/>
  <c r="CD26" i="3"/>
  <c r="CC26" i="3"/>
  <c r="CB26" i="3"/>
  <c r="CA26" i="3"/>
  <c r="BZ26" i="3"/>
  <c r="BY26" i="3"/>
  <c r="BX26" i="3"/>
  <c r="BW26" i="3"/>
  <c r="BW52" i="3" s="1"/>
  <c r="BV26" i="3"/>
  <c r="BV52" i="3" s="1"/>
  <c r="BU26" i="3"/>
  <c r="BT26" i="3"/>
  <c r="BE26" i="3"/>
  <c r="BE52" i="3" s="1"/>
  <c r="K26" i="3"/>
  <c r="H26" i="3"/>
  <c r="F26" i="3"/>
  <c r="CI24" i="3"/>
  <c r="DS23" i="3"/>
  <c r="DR23" i="3"/>
  <c r="DR71" i="3" s="1"/>
  <c r="DQ23" i="3"/>
  <c r="DP23" i="3"/>
  <c r="DO23" i="3"/>
  <c r="DN23" i="3"/>
  <c r="DM23" i="3"/>
  <c r="DL23" i="3"/>
  <c r="DK23" i="3"/>
  <c r="DJ23" i="3"/>
  <c r="DI23" i="3"/>
  <c r="DH23" i="3"/>
  <c r="DG23" i="3"/>
  <c r="DF23" i="3"/>
  <c r="DF71" i="3" s="1"/>
  <c r="DE23" i="3"/>
  <c r="DD23" i="3"/>
  <c r="DC23" i="3"/>
  <c r="DB23" i="3"/>
  <c r="DA23" i="3"/>
  <c r="CZ23" i="3"/>
  <c r="CY23" i="3"/>
  <c r="CX23" i="3"/>
  <c r="CW23" i="3"/>
  <c r="CV23" i="3"/>
  <c r="CU23" i="3"/>
  <c r="CT23" i="3"/>
  <c r="CT71" i="3" s="1"/>
  <c r="CS23" i="3"/>
  <c r="CR23" i="3"/>
  <c r="CQ23" i="3"/>
  <c r="CP23" i="3"/>
  <c r="CO23" i="3"/>
  <c r="CN23" i="3"/>
  <c r="CM23" i="3"/>
  <c r="CL23" i="3"/>
  <c r="CK23" i="3"/>
  <c r="CJ23" i="3"/>
  <c r="CI23" i="3"/>
  <c r="CH23" i="3"/>
  <c r="CH71" i="3" s="1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R23" i="3"/>
  <c r="BQ23" i="3"/>
  <c r="BP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F23" i="3"/>
  <c r="AF71" i="3" s="1"/>
  <c r="AE23" i="3"/>
  <c r="AE71" i="3" s="1"/>
  <c r="AD23" i="3"/>
  <c r="AC23" i="3"/>
  <c r="AB23" i="3"/>
  <c r="AA23" i="3"/>
  <c r="Z23" i="3"/>
  <c r="Y23" i="3"/>
  <c r="W23" i="3"/>
  <c r="V23" i="3"/>
  <c r="U23" i="3"/>
  <c r="T23" i="3"/>
  <c r="T71" i="3" s="1"/>
  <c r="S23" i="3"/>
  <c r="S71" i="3" s="1"/>
  <c r="R23" i="3"/>
  <c r="Q23" i="3"/>
  <c r="P23" i="3"/>
  <c r="O23" i="3"/>
  <c r="N23" i="3"/>
  <c r="M23" i="3"/>
  <c r="L23" i="3"/>
  <c r="J23" i="3"/>
  <c r="I23" i="3"/>
  <c r="G23" i="3"/>
  <c r="G71" i="3" s="1"/>
  <c r="E23" i="3"/>
  <c r="D23" i="3"/>
  <c r="C23" i="3"/>
  <c r="B23" i="3"/>
  <c r="BS22" i="3"/>
  <c r="AI22" i="3"/>
  <c r="AI70" i="3" s="1"/>
  <c r="AH22" i="3"/>
  <c r="AH70" i="3" s="1"/>
  <c r="AG22" i="3"/>
  <c r="AG70" i="3" s="1"/>
  <c r="X22" i="3"/>
  <c r="X70" i="3" s="1"/>
  <c r="K22" i="3"/>
  <c r="H22" i="3"/>
  <c r="F22" i="3"/>
  <c r="BS21" i="3"/>
  <c r="AI21" i="3"/>
  <c r="AI69" i="3" s="1"/>
  <c r="AH21" i="3"/>
  <c r="AH69" i="3" s="1"/>
  <c r="AG21" i="3"/>
  <c r="AG69" i="3" s="1"/>
  <c r="X21" i="3"/>
  <c r="X69" i="3" s="1"/>
  <c r="K21" i="3"/>
  <c r="H21" i="3"/>
  <c r="F21" i="3"/>
  <c r="F69" i="3" s="1"/>
  <c r="BS20" i="3"/>
  <c r="AI20" i="3"/>
  <c r="AI68" i="3" s="1"/>
  <c r="AH20" i="3"/>
  <c r="AH68" i="3" s="1"/>
  <c r="AG20" i="3"/>
  <c r="AG68" i="3" s="1"/>
  <c r="X20" i="3"/>
  <c r="X68" i="3" s="1"/>
  <c r="K20" i="3"/>
  <c r="K68" i="3" s="1"/>
  <c r="H20" i="3"/>
  <c r="F20" i="3"/>
  <c r="BS19" i="3"/>
  <c r="AI19" i="3"/>
  <c r="AI67" i="3" s="1"/>
  <c r="AH19" i="3"/>
  <c r="AH67" i="3" s="1"/>
  <c r="AG19" i="3"/>
  <c r="AG67" i="3" s="1"/>
  <c r="X19" i="3"/>
  <c r="X67" i="3" s="1"/>
  <c r="K19" i="3"/>
  <c r="H19" i="3"/>
  <c r="F19" i="3"/>
  <c r="F67" i="3" s="1"/>
  <c r="BS18" i="3"/>
  <c r="AI18" i="3"/>
  <c r="AI66" i="3" s="1"/>
  <c r="AH18" i="3"/>
  <c r="AH66" i="3" s="1"/>
  <c r="AG18" i="3"/>
  <c r="AG66" i="3" s="1"/>
  <c r="K18" i="3"/>
  <c r="K66" i="3" s="1"/>
  <c r="H18" i="3"/>
  <c r="H66" i="3" s="1"/>
  <c r="F18" i="3"/>
  <c r="F66" i="3" s="1"/>
  <c r="BS17" i="3"/>
  <c r="BO17" i="3"/>
  <c r="BO23" i="3" s="1"/>
  <c r="AI17" i="3"/>
  <c r="AI65" i="3" s="1"/>
  <c r="AH17" i="3"/>
  <c r="AH65" i="3" s="1"/>
  <c r="AG17" i="3"/>
  <c r="AG65" i="3" s="1"/>
  <c r="X17" i="3"/>
  <c r="X65" i="3" s="1"/>
  <c r="K17" i="3"/>
  <c r="K65" i="3" s="1"/>
  <c r="H17" i="3"/>
  <c r="H65" i="3" s="1"/>
  <c r="F17" i="3"/>
  <c r="BS16" i="3"/>
  <c r="AI16" i="3"/>
  <c r="AI64" i="3" s="1"/>
  <c r="AH16" i="3"/>
  <c r="AH64" i="3" s="1"/>
  <c r="AG16" i="3"/>
  <c r="AG64" i="3" s="1"/>
  <c r="K16" i="3"/>
  <c r="H16" i="3"/>
  <c r="F16" i="3"/>
  <c r="F64" i="3" s="1"/>
  <c r="BS15" i="3"/>
  <c r="AI15" i="3"/>
  <c r="AI63" i="3" s="1"/>
  <c r="AH15" i="3"/>
  <c r="AH63" i="3" s="1"/>
  <c r="AG15" i="3"/>
  <c r="AG63" i="3" s="1"/>
  <c r="K15" i="3"/>
  <c r="H15" i="3"/>
  <c r="F15" i="3"/>
  <c r="BS14" i="3"/>
  <c r="AI14" i="3"/>
  <c r="AI62" i="3" s="1"/>
  <c r="AH14" i="3"/>
  <c r="AH62" i="3" s="1"/>
  <c r="AG14" i="3"/>
  <c r="AG62" i="3" s="1"/>
  <c r="K14" i="3"/>
  <c r="K62" i="3" s="1"/>
  <c r="H14" i="3"/>
  <c r="H62" i="3" s="1"/>
  <c r="F14" i="3"/>
  <c r="F62" i="3" s="1"/>
  <c r="BS13" i="3"/>
  <c r="AI13" i="3"/>
  <c r="AI61" i="3" s="1"/>
  <c r="AH13" i="3"/>
  <c r="AH61" i="3" s="1"/>
  <c r="AG13" i="3"/>
  <c r="AG61" i="3" s="1"/>
  <c r="K13" i="3"/>
  <c r="H13" i="3"/>
  <c r="F13" i="3"/>
  <c r="BS12" i="3"/>
  <c r="AI12" i="3"/>
  <c r="AI60" i="3" s="1"/>
  <c r="AH12" i="3"/>
  <c r="AH60" i="3" s="1"/>
  <c r="AG12" i="3"/>
  <c r="AG60" i="3" s="1"/>
  <c r="K12" i="3"/>
  <c r="H12" i="3"/>
  <c r="H60" i="3" s="1"/>
  <c r="F12" i="3"/>
  <c r="F60" i="3" s="1"/>
  <c r="BS11" i="3"/>
  <c r="AI11" i="3"/>
  <c r="AI59" i="3" s="1"/>
  <c r="AH11" i="3"/>
  <c r="AH59" i="3" s="1"/>
  <c r="AG11" i="3"/>
  <c r="AG59" i="3" s="1"/>
  <c r="K11" i="3"/>
  <c r="H11" i="3"/>
  <c r="F11" i="3"/>
  <c r="BS10" i="3"/>
  <c r="AI10" i="3"/>
  <c r="AI58" i="3" s="1"/>
  <c r="AH10" i="3"/>
  <c r="AH58" i="3" s="1"/>
  <c r="AG10" i="3"/>
  <c r="AG58" i="3" s="1"/>
  <c r="K10" i="3"/>
  <c r="K58" i="3" s="1"/>
  <c r="H10" i="3"/>
  <c r="F10" i="3"/>
  <c r="BS9" i="3"/>
  <c r="AI9" i="3"/>
  <c r="AI57" i="3" s="1"/>
  <c r="AH9" i="3"/>
  <c r="AH57" i="3" s="1"/>
  <c r="AG9" i="3"/>
  <c r="AG57" i="3" s="1"/>
  <c r="K9" i="3"/>
  <c r="K57" i="3" s="1"/>
  <c r="H9" i="3"/>
  <c r="H57" i="3" s="1"/>
  <c r="F9" i="3"/>
  <c r="F57" i="3" s="1"/>
  <c r="BS8" i="3"/>
  <c r="AI8" i="3"/>
  <c r="AI56" i="3" s="1"/>
  <c r="AH8" i="3"/>
  <c r="AH56" i="3" s="1"/>
  <c r="AG8" i="3"/>
  <c r="AG56" i="3" s="1"/>
  <c r="K8" i="3"/>
  <c r="H8" i="3"/>
  <c r="F8" i="3"/>
  <c r="BS7" i="3"/>
  <c r="AI7" i="3"/>
  <c r="AI55" i="3" s="1"/>
  <c r="AH7" i="3"/>
  <c r="AH55" i="3" s="1"/>
  <c r="AG7" i="3"/>
  <c r="AG55" i="3" s="1"/>
  <c r="K7" i="3"/>
  <c r="K55" i="3" s="1"/>
  <c r="H7" i="3"/>
  <c r="H55" i="3" s="1"/>
  <c r="F7" i="3"/>
  <c r="F55" i="3" s="1"/>
  <c r="BS6" i="3"/>
  <c r="AI6" i="3"/>
  <c r="AI54" i="3" s="1"/>
  <c r="AH6" i="3"/>
  <c r="AH54" i="3" s="1"/>
  <c r="AG6" i="3"/>
  <c r="AG54" i="3" s="1"/>
  <c r="K6" i="3"/>
  <c r="H6" i="3"/>
  <c r="F6" i="3"/>
  <c r="BS5" i="3"/>
  <c r="AI5" i="3"/>
  <c r="AH5" i="3"/>
  <c r="AH53" i="3" s="1"/>
  <c r="AG5" i="3"/>
  <c r="AG53" i="3" s="1"/>
  <c r="K5" i="3"/>
  <c r="K53" i="3" s="1"/>
  <c r="H5" i="3"/>
  <c r="F5" i="3"/>
  <c r="BS4" i="3"/>
  <c r="AI4" i="3"/>
  <c r="AI52" i="3" s="1"/>
  <c r="AH4" i="3"/>
  <c r="AH52" i="3" s="1"/>
  <c r="AG4" i="3"/>
  <c r="K4" i="3"/>
  <c r="H4" i="3"/>
  <c r="H52" i="3" s="1"/>
  <c r="F4" i="3"/>
  <c r="F52" i="3" s="1"/>
  <c r="H67" i="3" l="1"/>
  <c r="BF29" i="3"/>
  <c r="BG29" i="3" s="1"/>
  <c r="AW71" i="3"/>
  <c r="AX71" i="3"/>
  <c r="BF27" i="3"/>
  <c r="BF53" i="3" s="1"/>
  <c r="F59" i="3"/>
  <c r="H64" i="3"/>
  <c r="K67" i="3"/>
  <c r="H59" i="3"/>
  <c r="Y71" i="3"/>
  <c r="CB45" i="3"/>
  <c r="CB71" i="3" s="1"/>
  <c r="AG23" i="3"/>
  <c r="AG71" i="3" s="1"/>
  <c r="F61" i="3"/>
  <c r="M71" i="3"/>
  <c r="Z71" i="3"/>
  <c r="H45" i="3"/>
  <c r="CC45" i="3"/>
  <c r="BF30" i="3"/>
  <c r="BF56" i="3" s="1"/>
  <c r="K54" i="3"/>
  <c r="F56" i="3"/>
  <c r="H61" i="3"/>
  <c r="N71" i="3"/>
  <c r="BB71" i="3"/>
  <c r="K45" i="3"/>
  <c r="AG52" i="3"/>
  <c r="F63" i="3"/>
  <c r="K69" i="3"/>
  <c r="AK71" i="3"/>
  <c r="H70" i="3"/>
  <c r="K70" i="3"/>
  <c r="H56" i="3"/>
  <c r="AQ71" i="3"/>
  <c r="CN71" i="3"/>
  <c r="CZ71" i="3"/>
  <c r="DL71" i="3"/>
  <c r="K56" i="3"/>
  <c r="F58" i="3"/>
  <c r="H63" i="3"/>
  <c r="AR71" i="3"/>
  <c r="BD71" i="3"/>
  <c r="F53" i="3"/>
  <c r="H58" i="3"/>
  <c r="K63" i="3"/>
  <c r="F65" i="3"/>
  <c r="F68" i="3"/>
  <c r="B71" i="3"/>
  <c r="CI47" i="3"/>
  <c r="DG47" i="3"/>
  <c r="DS47" i="3"/>
  <c r="B47" i="3"/>
  <c r="AI23" i="3"/>
  <c r="AL71" i="3"/>
  <c r="T47" i="3"/>
  <c r="BH29" i="3"/>
  <c r="BG55" i="3"/>
  <c r="AI71" i="3"/>
  <c r="AI47" i="3"/>
  <c r="BC71" i="3"/>
  <c r="BC47" i="3"/>
  <c r="DE71" i="3"/>
  <c r="DE47" i="3"/>
  <c r="BE62" i="3"/>
  <c r="BF36" i="3"/>
  <c r="CC52" i="3"/>
  <c r="K52" i="3"/>
  <c r="H53" i="3"/>
  <c r="F54" i="3"/>
  <c r="K64" i="3"/>
  <c r="H68" i="3"/>
  <c r="C71" i="3"/>
  <c r="C47" i="3"/>
  <c r="I71" i="3"/>
  <c r="I47" i="3"/>
  <c r="O71" i="3"/>
  <c r="O47" i="3"/>
  <c r="U71" i="3"/>
  <c r="U47" i="3"/>
  <c r="AA71" i="3"/>
  <c r="AA47" i="3"/>
  <c r="AM71" i="3"/>
  <c r="AM47" i="3"/>
  <c r="AS71" i="3"/>
  <c r="AS47" i="3"/>
  <c r="AY71" i="3"/>
  <c r="AY47" i="3"/>
  <c r="BW71" i="3"/>
  <c r="CC71" i="3"/>
  <c r="CI71" i="3"/>
  <c r="CO71" i="3"/>
  <c r="CU71" i="3"/>
  <c r="DA71" i="3"/>
  <c r="DG71" i="3"/>
  <c r="DM71" i="3"/>
  <c r="DS71" i="3"/>
  <c r="BF26" i="3"/>
  <c r="BX52" i="3"/>
  <c r="BX45" i="3"/>
  <c r="BX71" i="3" s="1"/>
  <c r="CD52" i="3"/>
  <c r="CD45" i="3"/>
  <c r="CD47" i="3" s="1"/>
  <c r="BE60" i="3"/>
  <c r="BF34" i="3"/>
  <c r="BE64" i="3"/>
  <c r="BF38" i="3"/>
  <c r="BE67" i="3"/>
  <c r="BF41" i="3"/>
  <c r="BW45" i="3"/>
  <c r="BW47" i="3" s="1"/>
  <c r="Z47" i="3"/>
  <c r="AR47" i="3"/>
  <c r="CC47" i="3"/>
  <c r="CU47" i="3"/>
  <c r="DM47" i="3"/>
  <c r="DU52" i="3"/>
  <c r="BE66" i="3"/>
  <c r="BF40" i="3"/>
  <c r="CB52" i="3"/>
  <c r="H23" i="3"/>
  <c r="BV45" i="3"/>
  <c r="BV71" i="3" s="1"/>
  <c r="Y47" i="3"/>
  <c r="DL47" i="3"/>
  <c r="H54" i="3"/>
  <c r="D71" i="3"/>
  <c r="D47" i="3"/>
  <c r="J71" i="3"/>
  <c r="J47" i="3"/>
  <c r="P71" i="3"/>
  <c r="P47" i="3"/>
  <c r="V71" i="3"/>
  <c r="V47" i="3"/>
  <c r="AB71" i="3"/>
  <c r="AB47" i="3"/>
  <c r="AH23" i="3"/>
  <c r="AN71" i="3"/>
  <c r="AN47" i="3"/>
  <c r="AT71" i="3"/>
  <c r="AT47" i="3"/>
  <c r="AZ71" i="3"/>
  <c r="AZ47" i="3"/>
  <c r="CJ71" i="3"/>
  <c r="CJ47" i="3"/>
  <c r="CP71" i="3"/>
  <c r="CP47" i="3"/>
  <c r="CV71" i="3"/>
  <c r="CV47" i="3"/>
  <c r="DB71" i="3"/>
  <c r="DB47" i="3"/>
  <c r="DH71" i="3"/>
  <c r="DH47" i="3"/>
  <c r="DN71" i="3"/>
  <c r="DN47" i="3"/>
  <c r="BG26" i="3"/>
  <c r="BY52" i="3"/>
  <c r="BY45" i="3"/>
  <c r="CE52" i="3"/>
  <c r="CE45" i="3"/>
  <c r="CE47" i="3" s="1"/>
  <c r="BE28" i="3"/>
  <c r="BE45" i="3" s="1"/>
  <c r="BE47" i="3" s="1"/>
  <c r="BE59" i="3"/>
  <c r="BF33" i="3"/>
  <c r="M47" i="3"/>
  <c r="AE47" i="3"/>
  <c r="AW47" i="3"/>
  <c r="CH47" i="3"/>
  <c r="CZ47" i="3"/>
  <c r="DR47" i="3"/>
  <c r="BF55" i="3"/>
  <c r="CM71" i="3"/>
  <c r="CM47" i="3"/>
  <c r="CY71" i="3"/>
  <c r="CY47" i="3"/>
  <c r="DQ71" i="3"/>
  <c r="DQ47" i="3"/>
  <c r="BE61" i="3"/>
  <c r="BF35" i="3"/>
  <c r="G47" i="3"/>
  <c r="AQ47" i="3"/>
  <c r="CT47" i="3"/>
  <c r="K23" i="3"/>
  <c r="W71" i="3"/>
  <c r="W47" i="3"/>
  <c r="AO71" i="3"/>
  <c r="AO47" i="3"/>
  <c r="CW71" i="3"/>
  <c r="CW47" i="3"/>
  <c r="DO71" i="3"/>
  <c r="DO47" i="3"/>
  <c r="BE65" i="3"/>
  <c r="BF39" i="3"/>
  <c r="N47" i="3"/>
  <c r="AF47" i="3"/>
  <c r="AX47" i="3"/>
  <c r="AI53" i="3"/>
  <c r="DU55" i="3"/>
  <c r="BL48" i="3"/>
  <c r="CS71" i="3"/>
  <c r="CS47" i="3"/>
  <c r="DK71" i="3"/>
  <c r="DK47" i="3"/>
  <c r="K60" i="3"/>
  <c r="H69" i="3"/>
  <c r="E71" i="3"/>
  <c r="E47" i="3"/>
  <c r="Q71" i="3"/>
  <c r="Q47" i="3"/>
  <c r="AC71" i="3"/>
  <c r="AC47" i="3"/>
  <c r="AU71" i="3"/>
  <c r="AU47" i="3"/>
  <c r="BA71" i="3"/>
  <c r="BA47" i="3"/>
  <c r="BS23" i="3"/>
  <c r="BL50" i="3" s="1"/>
  <c r="BY71" i="3"/>
  <c r="BY47" i="3"/>
  <c r="CK71" i="3"/>
  <c r="CK47" i="3"/>
  <c r="CQ71" i="3"/>
  <c r="CQ47" i="3"/>
  <c r="DC71" i="3"/>
  <c r="DC47" i="3"/>
  <c r="DI71" i="3"/>
  <c r="DI47" i="3"/>
  <c r="F45" i="3"/>
  <c r="BT52" i="3"/>
  <c r="BT45" i="3"/>
  <c r="BT47" i="3" s="1"/>
  <c r="BZ52" i="3"/>
  <c r="BZ45" i="3"/>
  <c r="BZ71" i="3" s="1"/>
  <c r="CF52" i="3"/>
  <c r="CF45" i="3"/>
  <c r="CF71" i="3" s="1"/>
  <c r="BT54" i="3"/>
  <c r="BE58" i="3"/>
  <c r="BF32" i="3"/>
  <c r="K61" i="3"/>
  <c r="F70" i="3"/>
  <c r="F23" i="3"/>
  <c r="L71" i="3"/>
  <c r="L47" i="3"/>
  <c r="R71" i="3"/>
  <c r="R47" i="3"/>
  <c r="X23" i="3"/>
  <c r="AD71" i="3"/>
  <c r="AD47" i="3"/>
  <c r="AJ71" i="3"/>
  <c r="AJ47" i="3"/>
  <c r="AP71" i="3"/>
  <c r="AP47" i="3"/>
  <c r="AV71" i="3"/>
  <c r="AV47" i="3"/>
  <c r="BT71" i="3"/>
  <c r="CL71" i="3"/>
  <c r="CL47" i="3"/>
  <c r="CR71" i="3"/>
  <c r="CR47" i="3"/>
  <c r="CX71" i="3"/>
  <c r="CX47" i="3"/>
  <c r="DD71" i="3"/>
  <c r="DD47" i="3"/>
  <c r="DJ71" i="3"/>
  <c r="DJ47" i="3"/>
  <c r="DP71" i="3"/>
  <c r="DP47" i="3"/>
  <c r="BU52" i="3"/>
  <c r="BU45" i="3"/>
  <c r="BU47" i="3" s="1"/>
  <c r="CA52" i="3"/>
  <c r="CA45" i="3"/>
  <c r="CA47" i="3" s="1"/>
  <c r="CG52" i="3"/>
  <c r="CG45" i="3"/>
  <c r="CG47" i="3" s="1"/>
  <c r="BG27" i="3"/>
  <c r="BE57" i="3"/>
  <c r="BF31" i="3"/>
  <c r="BE63" i="3"/>
  <c r="BF37" i="3"/>
  <c r="S47" i="3"/>
  <c r="AK47" i="3"/>
  <c r="BD47" i="3"/>
  <c r="CN47" i="3"/>
  <c r="DF47" i="3"/>
  <c r="DU56" i="3"/>
  <c r="DU57" i="3"/>
  <c r="DU58" i="3"/>
  <c r="DU60" i="3"/>
  <c r="DU61" i="3"/>
  <c r="DU65" i="3"/>
  <c r="DU69" i="3"/>
  <c r="BF42" i="3"/>
  <c r="BF43" i="3"/>
  <c r="BF44" i="3"/>
  <c r="DU59" i="3"/>
  <c r="DU53" i="3"/>
  <c r="DU54" i="3"/>
  <c r="DU64" i="3"/>
  <c r="DU62" i="3"/>
  <c r="DU63" i="3"/>
  <c r="DU66" i="3"/>
  <c r="DU70" i="3"/>
  <c r="DU68" i="3"/>
  <c r="DU67" i="3"/>
  <c r="BU71" i="3" l="1"/>
  <c r="CF47" i="3"/>
  <c r="AG47" i="3"/>
  <c r="CB47" i="3"/>
  <c r="CD71" i="3"/>
  <c r="CA71" i="3"/>
  <c r="BG30" i="3"/>
  <c r="BX47" i="3"/>
  <c r="CE71" i="3"/>
  <c r="F71" i="3"/>
  <c r="F47" i="3"/>
  <c r="BH55" i="3"/>
  <c r="BI29" i="3"/>
  <c r="X71" i="3"/>
  <c r="X47" i="3"/>
  <c r="K71" i="3"/>
  <c r="K47" i="3"/>
  <c r="BV47" i="3"/>
  <c r="BF57" i="3"/>
  <c r="BG31" i="3"/>
  <c r="BF61" i="3"/>
  <c r="BG35" i="3"/>
  <c r="H71" i="3"/>
  <c r="H47" i="3"/>
  <c r="BF59" i="3"/>
  <c r="BG33" i="3"/>
  <c r="BF64" i="3"/>
  <c r="BG38" i="3"/>
  <c r="BF70" i="3"/>
  <c r="BG44" i="3"/>
  <c r="BZ47" i="3"/>
  <c r="BF65" i="3"/>
  <c r="BG39" i="3"/>
  <c r="BF66" i="3"/>
  <c r="BG40" i="3"/>
  <c r="BF60" i="3"/>
  <c r="BG34" i="3"/>
  <c r="BF52" i="3"/>
  <c r="CG71" i="3"/>
  <c r="BG52" i="3"/>
  <c r="BH26" i="3"/>
  <c r="BF69" i="3"/>
  <c r="BG43" i="3"/>
  <c r="BH27" i="3"/>
  <c r="BG53" i="3"/>
  <c r="BH30" i="3"/>
  <c r="BG56" i="3"/>
  <c r="BE71" i="3"/>
  <c r="BF63" i="3"/>
  <c r="BG37" i="3"/>
  <c r="BF68" i="3"/>
  <c r="BG42" i="3"/>
  <c r="BF58" i="3"/>
  <c r="BG32" i="3"/>
  <c r="BE54" i="3"/>
  <c r="BF28" i="3"/>
  <c r="BF45" i="3" s="1"/>
  <c r="AH71" i="3"/>
  <c r="AH47" i="3"/>
  <c r="BF67" i="3"/>
  <c r="BG41" i="3"/>
  <c r="BF62" i="3"/>
  <c r="BG36" i="3"/>
  <c r="BG63" i="3" l="1"/>
  <c r="BH37" i="3"/>
  <c r="BI27" i="3"/>
  <c r="BH53" i="3"/>
  <c r="BH52" i="3"/>
  <c r="BI26" i="3"/>
  <c r="BG66" i="3"/>
  <c r="BH40" i="3"/>
  <c r="BG64" i="3"/>
  <c r="BH38" i="3"/>
  <c r="BH33" i="3"/>
  <c r="BG59" i="3"/>
  <c r="BF54" i="3"/>
  <c r="BG28" i="3"/>
  <c r="BH56" i="3"/>
  <c r="BI30" i="3"/>
  <c r="BG68" i="3"/>
  <c r="BH42" i="3"/>
  <c r="BG69" i="3"/>
  <c r="BH43" i="3"/>
  <c r="BG67" i="3"/>
  <c r="BH41" i="3"/>
  <c r="BG57" i="3"/>
  <c r="BH31" i="3"/>
  <c r="BG61" i="3"/>
  <c r="BH35" i="3"/>
  <c r="BG62" i="3"/>
  <c r="BH36" i="3"/>
  <c r="BH32" i="3"/>
  <c r="BG58" i="3"/>
  <c r="BF71" i="3"/>
  <c r="BF47" i="3"/>
  <c r="BG65" i="3"/>
  <c r="BH39" i="3"/>
  <c r="BG60" i="3"/>
  <c r="BH34" i="3"/>
  <c r="BG70" i="3"/>
  <c r="BH44" i="3"/>
  <c r="BI55" i="3"/>
  <c r="BJ29" i="3"/>
  <c r="BH58" i="3" l="1"/>
  <c r="BI32" i="3"/>
  <c r="BG54" i="3"/>
  <c r="BH28" i="3"/>
  <c r="BG45" i="3"/>
  <c r="BH62" i="3"/>
  <c r="BI36" i="3"/>
  <c r="BH69" i="3"/>
  <c r="BI43" i="3"/>
  <c r="BI56" i="3"/>
  <c r="BJ30" i="3"/>
  <c r="BH66" i="3"/>
  <c r="BI40" i="3"/>
  <c r="BI53" i="3"/>
  <c r="BJ27" i="3"/>
  <c r="BH57" i="3"/>
  <c r="BI31" i="3"/>
  <c r="BH60" i="3"/>
  <c r="BI34" i="3"/>
  <c r="BH65" i="3"/>
  <c r="BI39" i="3"/>
  <c r="BH61" i="3"/>
  <c r="BI35" i="3"/>
  <c r="BH63" i="3"/>
  <c r="BI37" i="3"/>
  <c r="BH67" i="3"/>
  <c r="BI41" i="3"/>
  <c r="BH68" i="3"/>
  <c r="BI42" i="3"/>
  <c r="BH59" i="3"/>
  <c r="BI33" i="3"/>
  <c r="BI52" i="3"/>
  <c r="BJ26" i="3"/>
  <c r="BJ55" i="3"/>
  <c r="BK29" i="3"/>
  <c r="BH70" i="3"/>
  <c r="BI44" i="3"/>
  <c r="BH64" i="3"/>
  <c r="BI38" i="3"/>
  <c r="BI60" i="3" l="1"/>
  <c r="BJ34" i="3"/>
  <c r="BG47" i="3"/>
  <c r="BG71" i="3"/>
  <c r="BI69" i="3"/>
  <c r="BJ43" i="3"/>
  <c r="BH54" i="3"/>
  <c r="BI28" i="3"/>
  <c r="BH45" i="3"/>
  <c r="BJ52" i="3"/>
  <c r="BK26" i="3"/>
  <c r="BI63" i="3"/>
  <c r="BJ37" i="3"/>
  <c r="BI66" i="3"/>
  <c r="BJ40" i="3"/>
  <c r="BI64" i="3"/>
  <c r="BJ38" i="3"/>
  <c r="BI68" i="3"/>
  <c r="BJ42" i="3"/>
  <c r="BI57" i="3"/>
  <c r="BJ31" i="3"/>
  <c r="BI62" i="3"/>
  <c r="BJ36" i="3"/>
  <c r="BI58" i="3"/>
  <c r="BJ32" i="3"/>
  <c r="BJ53" i="3"/>
  <c r="BK27" i="3"/>
  <c r="BI65" i="3"/>
  <c r="BJ39" i="3"/>
  <c r="BI70" i="3"/>
  <c r="BJ44" i="3"/>
  <c r="BK55" i="3"/>
  <c r="BL29" i="3"/>
  <c r="BI59" i="3"/>
  <c r="BJ33" i="3"/>
  <c r="BI67" i="3"/>
  <c r="BJ41" i="3"/>
  <c r="BI61" i="3"/>
  <c r="BJ35" i="3"/>
  <c r="BJ56" i="3"/>
  <c r="BK30" i="3"/>
  <c r="BK56" i="3" l="1"/>
  <c r="BL30" i="3"/>
  <c r="BJ59" i="3"/>
  <c r="BK33" i="3"/>
  <c r="BJ62" i="3"/>
  <c r="BK36" i="3"/>
  <c r="BJ68" i="3"/>
  <c r="BK42" i="3"/>
  <c r="BH71" i="3"/>
  <c r="BH47" i="3"/>
  <c r="BJ67" i="3"/>
  <c r="BK41" i="3"/>
  <c r="BJ58" i="3"/>
  <c r="BK32" i="3"/>
  <c r="BJ63" i="3"/>
  <c r="BK37" i="3"/>
  <c r="BI54" i="3"/>
  <c r="BJ28" i="3"/>
  <c r="BI45" i="3"/>
  <c r="BJ60" i="3"/>
  <c r="BK34" i="3"/>
  <c r="BJ66" i="3"/>
  <c r="BK40" i="3"/>
  <c r="BJ61" i="3"/>
  <c r="BK35" i="3"/>
  <c r="BL55" i="3"/>
  <c r="BM29" i="3"/>
  <c r="BJ70" i="3"/>
  <c r="BK44" i="3"/>
  <c r="BK53" i="3"/>
  <c r="BL27" i="3"/>
  <c r="BJ65" i="3"/>
  <c r="BK39" i="3"/>
  <c r="BJ57" i="3"/>
  <c r="BK31" i="3"/>
  <c r="BJ64" i="3"/>
  <c r="BK38" i="3"/>
  <c r="BK52" i="3"/>
  <c r="BL26" i="3"/>
  <c r="BJ69" i="3"/>
  <c r="BK43" i="3"/>
  <c r="BK60" i="3" l="1"/>
  <c r="BL34" i="3"/>
  <c r="BK58" i="3"/>
  <c r="BL32" i="3"/>
  <c r="BL53" i="3"/>
  <c r="BM27" i="3"/>
  <c r="BK59" i="3"/>
  <c r="BL33" i="3"/>
  <c r="BK65" i="3"/>
  <c r="BL39" i="3"/>
  <c r="BK70" i="3"/>
  <c r="BL44" i="3"/>
  <c r="BK66" i="3"/>
  <c r="BL40" i="3"/>
  <c r="BK68" i="3"/>
  <c r="BL42" i="3"/>
  <c r="BK57" i="3"/>
  <c r="BL31" i="3"/>
  <c r="BK61" i="3"/>
  <c r="BL35" i="3"/>
  <c r="BK63" i="3"/>
  <c r="BL37" i="3"/>
  <c r="BI47" i="3"/>
  <c r="BI71" i="3"/>
  <c r="BK67" i="3"/>
  <c r="BL41" i="3"/>
  <c r="BL56" i="3"/>
  <c r="BM30" i="3"/>
  <c r="BL52" i="3"/>
  <c r="BM26" i="3"/>
  <c r="BK69" i="3"/>
  <c r="BL43" i="3"/>
  <c r="BK64" i="3"/>
  <c r="BL38" i="3"/>
  <c r="BM55" i="3"/>
  <c r="BN29" i="3"/>
  <c r="BJ54" i="3"/>
  <c r="BK28" i="3"/>
  <c r="BJ45" i="3"/>
  <c r="BK62" i="3"/>
  <c r="BL36" i="3"/>
  <c r="BL63" i="3" l="1"/>
  <c r="BM37" i="3"/>
  <c r="BL62" i="3"/>
  <c r="BM36" i="3"/>
  <c r="BL64" i="3"/>
  <c r="BM38" i="3"/>
  <c r="BM52" i="3"/>
  <c r="BN26" i="3"/>
  <c r="BL66" i="3"/>
  <c r="BM40" i="3"/>
  <c r="BL59" i="3"/>
  <c r="BM33" i="3"/>
  <c r="BN55" i="3"/>
  <c r="BO29" i="3"/>
  <c r="BL61" i="3"/>
  <c r="BM35" i="3"/>
  <c r="BL68" i="3"/>
  <c r="BM42" i="3"/>
  <c r="BN30" i="3"/>
  <c r="BM56" i="3"/>
  <c r="BL69" i="3"/>
  <c r="BM43" i="3"/>
  <c r="BL67" i="3"/>
  <c r="BM41" i="3"/>
  <c r="BL70" i="3"/>
  <c r="BM44" i="3"/>
  <c r="BJ47" i="3"/>
  <c r="BJ71" i="3"/>
  <c r="BM31" i="3"/>
  <c r="BL57" i="3"/>
  <c r="BM53" i="3"/>
  <c r="BN27" i="3"/>
  <c r="BL60" i="3"/>
  <c r="BM34" i="3"/>
  <c r="BL58" i="3"/>
  <c r="BM32" i="3"/>
  <c r="BK54" i="3"/>
  <c r="BL28" i="3"/>
  <c r="BK45" i="3"/>
  <c r="BL65" i="3"/>
  <c r="BM39" i="3"/>
  <c r="BM65" i="3" l="1"/>
  <c r="BN39" i="3"/>
  <c r="BM66" i="3"/>
  <c r="BN40" i="3"/>
  <c r="BM61" i="3"/>
  <c r="BN35" i="3"/>
  <c r="BN31" i="3"/>
  <c r="BM57" i="3"/>
  <c r="BO55" i="3"/>
  <c r="BP29" i="3"/>
  <c r="BM64" i="3"/>
  <c r="BN38" i="3"/>
  <c r="BN53" i="3"/>
  <c r="BO27" i="3"/>
  <c r="BM58" i="3"/>
  <c r="BN32" i="3"/>
  <c r="BM60" i="3"/>
  <c r="BN34" i="3"/>
  <c r="BM70" i="3"/>
  <c r="BN44" i="3"/>
  <c r="BM67" i="3"/>
  <c r="BN41" i="3"/>
  <c r="BN56" i="3"/>
  <c r="BO30" i="3"/>
  <c r="BN52" i="3"/>
  <c r="BO26" i="3"/>
  <c r="BM63" i="3"/>
  <c r="BN37" i="3"/>
  <c r="BK71" i="3"/>
  <c r="BK47" i="3"/>
  <c r="BM59" i="3"/>
  <c r="BN33" i="3"/>
  <c r="BL54" i="3"/>
  <c r="BM28" i="3"/>
  <c r="BL45" i="3"/>
  <c r="BM69" i="3"/>
  <c r="BN43" i="3"/>
  <c r="BM68" i="3"/>
  <c r="BN42" i="3"/>
  <c r="BM62" i="3"/>
  <c r="BN36" i="3"/>
  <c r="BN62" i="3" l="1"/>
  <c r="BO36" i="3"/>
  <c r="BN69" i="3"/>
  <c r="BO43" i="3"/>
  <c r="BN70" i="3"/>
  <c r="BO44" i="3"/>
  <c r="BN64" i="3"/>
  <c r="BO38" i="3"/>
  <c r="BN66" i="3"/>
  <c r="BO40" i="3"/>
  <c r="BN57" i="3"/>
  <c r="BO31" i="3"/>
  <c r="BN67" i="3"/>
  <c r="BO41" i="3"/>
  <c r="BN59" i="3"/>
  <c r="BO33" i="3"/>
  <c r="BQ29" i="3"/>
  <c r="BP55" i="3"/>
  <c r="BO52" i="3"/>
  <c r="BP26" i="3"/>
  <c r="BN58" i="3"/>
  <c r="BO32" i="3"/>
  <c r="BL47" i="3"/>
  <c r="BL71" i="3"/>
  <c r="BN63" i="3"/>
  <c r="BO37" i="3"/>
  <c r="BO56" i="3"/>
  <c r="BP30" i="3"/>
  <c r="BN60" i="3"/>
  <c r="BO34" i="3"/>
  <c r="BO53" i="3"/>
  <c r="BP27" i="3"/>
  <c r="BN65" i="3"/>
  <c r="BO39" i="3"/>
  <c r="BN68" i="3"/>
  <c r="BO42" i="3"/>
  <c r="BM54" i="3"/>
  <c r="BN28" i="3"/>
  <c r="BM45" i="3"/>
  <c r="BN61" i="3"/>
  <c r="BO35" i="3"/>
  <c r="BO60" i="3" l="1"/>
  <c r="BP34" i="3"/>
  <c r="BQ26" i="3"/>
  <c r="BP52" i="3"/>
  <c r="BQ55" i="3"/>
  <c r="BR29" i="3"/>
  <c r="BO66" i="3"/>
  <c r="BP40" i="3"/>
  <c r="BM47" i="3"/>
  <c r="BM71" i="3"/>
  <c r="BP39" i="3"/>
  <c r="BO65" i="3"/>
  <c r="BO67" i="3"/>
  <c r="BP41" i="3"/>
  <c r="BO70" i="3"/>
  <c r="BP44" i="3"/>
  <c r="BN54" i="3"/>
  <c r="BO28" i="3"/>
  <c r="BN45" i="3"/>
  <c r="BP56" i="3"/>
  <c r="BQ30" i="3"/>
  <c r="BO59" i="3"/>
  <c r="BP33" i="3"/>
  <c r="BO64" i="3"/>
  <c r="BP38" i="3"/>
  <c r="BP36" i="3"/>
  <c r="BO62" i="3"/>
  <c r="BO61" i="3"/>
  <c r="BP35" i="3"/>
  <c r="BO58" i="3"/>
  <c r="BP32" i="3"/>
  <c r="BO57" i="3"/>
  <c r="BP31" i="3"/>
  <c r="BO69" i="3"/>
  <c r="BP43" i="3"/>
  <c r="BO68" i="3"/>
  <c r="BP42" i="3"/>
  <c r="BP53" i="3"/>
  <c r="BQ27" i="3"/>
  <c r="BO63" i="3"/>
  <c r="BP37" i="3"/>
  <c r="BP68" i="3" l="1"/>
  <c r="BQ42" i="3"/>
  <c r="BP64" i="3"/>
  <c r="BQ38" i="3"/>
  <c r="BQ56" i="3"/>
  <c r="BR30" i="3"/>
  <c r="BP70" i="3"/>
  <c r="BQ44" i="3"/>
  <c r="BP67" i="3"/>
  <c r="BQ41" i="3"/>
  <c r="BP58" i="3"/>
  <c r="BQ32" i="3"/>
  <c r="BP63" i="3"/>
  <c r="BQ37" i="3"/>
  <c r="BP57" i="3"/>
  <c r="BQ31" i="3"/>
  <c r="BR55" i="3"/>
  <c r="BS29" i="3"/>
  <c r="BS55" i="3" s="1"/>
  <c r="BP60" i="3"/>
  <c r="BQ34" i="3"/>
  <c r="BP61" i="3"/>
  <c r="BQ35" i="3"/>
  <c r="BP62" i="3"/>
  <c r="BQ36" i="3"/>
  <c r="BQ53" i="3"/>
  <c r="BR27" i="3"/>
  <c r="BQ33" i="3"/>
  <c r="BP59" i="3"/>
  <c r="BN71" i="3"/>
  <c r="BN47" i="3"/>
  <c r="BP66" i="3"/>
  <c r="BQ40" i="3"/>
  <c r="BP69" i="3"/>
  <c r="BQ43" i="3"/>
  <c r="BO54" i="3"/>
  <c r="BP28" i="3"/>
  <c r="BO45" i="3"/>
  <c r="BP65" i="3"/>
  <c r="BQ39" i="3"/>
  <c r="BQ52" i="3"/>
  <c r="BR26" i="3"/>
  <c r="BQ62" i="3" l="1"/>
  <c r="BR36" i="3"/>
  <c r="BQ63" i="3"/>
  <c r="BR37" i="3"/>
  <c r="BQ70" i="3"/>
  <c r="BR44" i="3"/>
  <c r="BR52" i="3"/>
  <c r="BS26" i="3"/>
  <c r="BO71" i="3"/>
  <c r="BO47" i="3"/>
  <c r="BQ69" i="3"/>
  <c r="BR43" i="3"/>
  <c r="BQ66" i="3"/>
  <c r="BR40" i="3"/>
  <c r="BQ59" i="3"/>
  <c r="BR33" i="3"/>
  <c r="BQ60" i="3"/>
  <c r="BR34" i="3"/>
  <c r="BQ58" i="3"/>
  <c r="BR32" i="3"/>
  <c r="BR56" i="3"/>
  <c r="BS30" i="3"/>
  <c r="BS56" i="3" s="1"/>
  <c r="BP54" i="3"/>
  <c r="BQ28" i="3"/>
  <c r="BP45" i="3"/>
  <c r="BQ61" i="3"/>
  <c r="BR35" i="3"/>
  <c r="BQ57" i="3"/>
  <c r="BR31" i="3"/>
  <c r="BQ67" i="3"/>
  <c r="BR41" i="3"/>
  <c r="BQ68" i="3"/>
  <c r="BR42" i="3"/>
  <c r="BR53" i="3"/>
  <c r="BS27" i="3"/>
  <c r="BS53" i="3" s="1"/>
  <c r="BQ64" i="3"/>
  <c r="BR38" i="3"/>
  <c r="BQ65" i="3"/>
  <c r="BR39" i="3"/>
  <c r="BP47" i="3" l="1"/>
  <c r="BP71" i="3"/>
  <c r="BR69" i="3"/>
  <c r="BS43" i="3"/>
  <c r="BS69" i="3" s="1"/>
  <c r="BR62" i="3"/>
  <c r="BS36" i="3"/>
  <c r="BS62" i="3" s="1"/>
  <c r="BR60" i="3"/>
  <c r="BS34" i="3"/>
  <c r="BS60" i="3" s="1"/>
  <c r="BQ54" i="3"/>
  <c r="BR28" i="3"/>
  <c r="BQ45" i="3"/>
  <c r="BR64" i="3"/>
  <c r="BS38" i="3"/>
  <c r="BS64" i="3" s="1"/>
  <c r="BS52" i="3"/>
  <c r="BK48" i="3"/>
  <c r="BM48" i="3" s="1"/>
  <c r="BR68" i="3"/>
  <c r="BS42" i="3"/>
  <c r="BS68" i="3" s="1"/>
  <c r="BR57" i="3"/>
  <c r="BS31" i="3"/>
  <c r="BS57" i="3" s="1"/>
  <c r="BR59" i="3"/>
  <c r="BS33" i="3"/>
  <c r="BS59" i="3" s="1"/>
  <c r="BR70" i="3"/>
  <c r="BS44" i="3"/>
  <c r="BS70" i="3" s="1"/>
  <c r="BR65" i="3"/>
  <c r="BS39" i="3"/>
  <c r="BS65" i="3" s="1"/>
  <c r="BR61" i="3"/>
  <c r="BS35" i="3"/>
  <c r="BS61" i="3" s="1"/>
  <c r="BR58" i="3"/>
  <c r="BS32" i="3"/>
  <c r="BS58" i="3" s="1"/>
  <c r="BR67" i="3"/>
  <c r="BS41" i="3"/>
  <c r="BS67" i="3" s="1"/>
  <c r="BR66" i="3"/>
  <c r="BS40" i="3"/>
  <c r="BS66" i="3" s="1"/>
  <c r="BR63" i="3"/>
  <c r="BS37" i="3"/>
  <c r="BS63" i="3" s="1"/>
  <c r="BR54" i="3" l="1"/>
  <c r="BS28" i="3"/>
  <c r="BR45" i="3"/>
  <c r="BQ47" i="3"/>
  <c r="BQ71" i="3"/>
  <c r="BR47" i="3" l="1"/>
  <c r="BR71" i="3"/>
  <c r="BS54" i="3"/>
  <c r="BK49" i="3"/>
  <c r="BM49" i="3" s="1"/>
  <c r="BS45" i="3"/>
  <c r="BS47" i="3" l="1"/>
  <c r="BS71" i="3"/>
  <c r="BK50" i="3"/>
  <c r="BM5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www.intercambiosvirtuales.org</author>
  </authors>
  <commentList>
    <comment ref="X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www.intercambiosvirtuales.org:</t>
        </r>
        <r>
          <rPr>
            <sz val="9"/>
            <color indexed="81"/>
            <rFont val="Tahoma"/>
            <family val="2"/>
          </rPr>
          <t xml:space="preserve">
el anuario es una fotocopia y no se lee bien los ultimos numeros</t>
        </r>
      </text>
    </comment>
  </commentList>
</comments>
</file>

<file path=xl/sharedStrings.xml><?xml version="1.0" encoding="utf-8"?>
<sst xmlns="http://schemas.openxmlformats.org/spreadsheetml/2006/main" count="188" uniqueCount="49">
  <si>
    <t>tasa de mortalidad infantil</t>
  </si>
  <si>
    <t>Promedio</t>
  </si>
  <si>
    <t>Montevideo</t>
  </si>
  <si>
    <t>Artigas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</si>
  <si>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</si>
  <si>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</si>
  <si>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</si>
  <si>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</si>
  <si>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</si>
  <si>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</si>
  <si>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</si>
  <si>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</si>
  <si>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Paysandu</t>
  </si>
  <si>
    <t>Rio Negro</t>
  </si>
  <si>
    <t>Rivera</t>
  </si>
  <si>
    <t>Rocha</t>
  </si>
  <si>
    <t>Salto</t>
  </si>
  <si>
    <t>San Jose</t>
  </si>
  <si>
    <t>Soriano</t>
  </si>
  <si>
    <t>Tacuarembo</t>
  </si>
  <si>
    <t>Treinta y Tres</t>
  </si>
  <si>
    <t>hay info neonatal</t>
  </si>
  <si>
    <t>no distingue por residencia de la madre</t>
  </si>
  <si>
    <t>defunciones por departamento de ocurrencia</t>
  </si>
  <si>
    <t>defunciones por departamento de residencia</t>
  </si>
  <si>
    <t>defunciones por departamento de residencia de la madre</t>
  </si>
  <si>
    <t>defunciones de menores de un año ocurridas y registradas según lugar de residencia de la madre</t>
  </si>
  <si>
    <t>defunciones menores de 1 año</t>
  </si>
  <si>
    <t>Se ignora</t>
  </si>
  <si>
    <t>TOTAL</t>
  </si>
  <si>
    <t>(p)</t>
  </si>
  <si>
    <t>(P)</t>
  </si>
  <si>
    <t>nacimientos (nacidos vivos)</t>
  </si>
  <si>
    <t>no distingue según residencia de la madre</t>
  </si>
  <si>
    <t>según residencia de la madre</t>
  </si>
  <si>
    <t>nacimientos inscriptos por departamento</t>
  </si>
  <si>
    <t>nacimiento ocurrido por año según departamento</t>
  </si>
  <si>
    <t>nacimiento ocurrido por año según departamento de ocurriencia</t>
  </si>
  <si>
    <t>nacimiento ocurrido por año según departamento de ocurrencia</t>
  </si>
  <si>
    <t>nacimiento según departamento de residencia de la madre</t>
  </si>
  <si>
    <t>Tasa de mortalidad total</t>
  </si>
  <si>
    <t>Departamento</t>
  </si>
  <si>
    <t>Titulo</t>
  </si>
  <si>
    <t>Definicion</t>
  </si>
  <si>
    <t>Fuente</t>
  </si>
  <si>
    <t>Elaboración propia en base a Anuarios Estadísticos del Uruguay</t>
  </si>
  <si>
    <t xml:space="preserve">Unidad </t>
  </si>
  <si>
    <t>Notas</t>
  </si>
  <si>
    <t>Tasa de mortalidad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</si>
</sst>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2" borderId="0" xfId="0" applyFill="1"/>
    <xf numFmtId="1" fontId="0" fillId="0" borderId="0" xfId="0" applyNumberFormat="1" applyFill="1"/>
    <xf numFmtId="0" fontId="0" fillId="0" borderId="0" xfId="0" applyFill="1"/>
    <xf numFmtId="0" fontId="0" fillId="3" borderId="0" xfId="0" applyFill="1"/>
    <xf numFmtId="1" fontId="0" fillId="0" borderId="0" xfId="0" applyNumberFormat="1"/>
    <xf numFmtId="0" fontId="0" fillId="4" borderId="0" xfId="0" applyFill="1"/>
    <xf numFmtId="0" fontId="0" fillId="5" borderId="0" xfId="0" applyFill="1"/>
    <xf numFmtId="165" fontId="0" fillId="5" borderId="0" xfId="0" applyNumberFormat="1" applyFill="1"/>
    <xf numFmtId="166" fontId="0" fillId="0" borderId="0" xfId="0" applyNumberFormat="1"/>
    <xf numFmtId="0" fontId="3" fillId="6" borderId="1" xfId="0" applyFont="1" applyFill="1" applyBorder="1" applyAlignment="1">
      <alignment vertical="center"/>
    </xf>
    <xf numFmtId="0" fontId="0" fillId="6" borderId="2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0" fillId="6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0" fillId="6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'[1]tabla total (MIRAR)'!$A$52</c:f>
              <c:strCache>
                <c:ptCount val="1"/>
                <c:pt idx="0">
                  <c:v>Montevideo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(MIRAR)'!$B$52:$DS$52</c:f>
              <c:numCache>
                <c:formatCode>General</c:formatCode>
                <c:ptCount val="122"/>
                <c:pt idx="0">
                  <c:v>0.1132880181260829</c:v>
                </c:pt>
                <c:pt idx="1">
                  <c:v>0.12308282208588957</c:v>
                </c:pt>
                <c:pt idx="2">
                  <c:v>0.11884094970640796</c:v>
                </c:pt>
                <c:pt idx="3">
                  <c:v>0.11943069306930693</c:v>
                </c:pt>
                <c:pt idx="4">
                  <c:v>0.10836658433086326</c:v>
                </c:pt>
                <c:pt idx="5">
                  <c:v>9.677000908029576E-2</c:v>
                </c:pt>
                <c:pt idx="6">
                  <c:v>0.10164954870837224</c:v>
                </c:pt>
                <c:pt idx="7">
                  <c:v>0.10615126854954524</c:v>
                </c:pt>
                <c:pt idx="8">
                  <c:v>9.7856899875269299E-2</c:v>
                </c:pt>
                <c:pt idx="9">
                  <c:v>0.11264681780934171</c:v>
                </c:pt>
                <c:pt idx="10">
                  <c:v>0.12639679527725067</c:v>
                </c:pt>
                <c:pt idx="11">
                  <c:v>0.11665309446254071</c:v>
                </c:pt>
                <c:pt idx="12">
                  <c:v>0.13782465917006667</c:v>
                </c:pt>
                <c:pt idx="13">
                  <c:v>0.1169641143734408</c:v>
                </c:pt>
                <c:pt idx="14">
                  <c:v>0.11054472763618191</c:v>
                </c:pt>
                <c:pt idx="15">
                  <c:v>0.14769874476987449</c:v>
                </c:pt>
                <c:pt idx="16">
                  <c:v>0.11083875093253757</c:v>
                </c:pt>
                <c:pt idx="17">
                  <c:v>0.10839428010042572</c:v>
                </c:pt>
                <c:pt idx="18">
                  <c:v>0.11333469471104758</c:v>
                </c:pt>
                <c:pt idx="19">
                  <c:v>0.11891620672353237</c:v>
                </c:pt>
                <c:pt idx="20">
                  <c:v>0.13545514824287203</c:v>
                </c:pt>
                <c:pt idx="21">
                  <c:v>9.8489761882701754E-2</c:v>
                </c:pt>
                <c:pt idx="22">
                  <c:v>0.11142604074402125</c:v>
                </c:pt>
                <c:pt idx="23">
                  <c:v>0.11627499123114697</c:v>
                </c:pt>
                <c:pt idx="24">
                  <c:v>0.12746234067207415</c:v>
                </c:pt>
                <c:pt idx="25">
                  <c:v>0.1118216101000164</c:v>
                </c:pt>
                <c:pt idx="26">
                  <c:v>0.10991312441824387</c:v>
                </c:pt>
                <c:pt idx="27">
                  <c:v>0.12426666666666666</c:v>
                </c:pt>
                <c:pt idx="28">
                  <c:v>0.10018070112034695</c:v>
                </c:pt>
                <c:pt idx="29">
                  <c:v>9.5098179733409768E-2</c:v>
                </c:pt>
                <c:pt idx="30">
                  <c:v>0.11192130425810003</c:v>
                </c:pt>
                <c:pt idx="31">
                  <c:v>0.12981073664954618</c:v>
                </c:pt>
                <c:pt idx="32">
                  <c:v>0.11044880785413745</c:v>
                </c:pt>
                <c:pt idx="33">
                  <c:v>9.6059113300492605E-2</c:v>
                </c:pt>
                <c:pt idx="34">
                  <c:v>9.3120870579090562E-2</c:v>
                </c:pt>
                <c:pt idx="35">
                  <c:v>0.10550968561448079</c:v>
                </c:pt>
                <c:pt idx="36">
                  <c:v>8.7448318901630392E-2</c:v>
                </c:pt>
                <c:pt idx="37">
                  <c:v>9.7779509154655234E-2</c:v>
                </c:pt>
                <c:pt idx="38">
                  <c:v>0.10030728709394206</c:v>
                </c:pt>
                <c:pt idx="39">
                  <c:v>8.1023454157782518E-2</c:v>
                </c:pt>
                <c:pt idx="40">
                  <c:v>8.6856904811497604E-2</c:v>
                </c:pt>
                <c:pt idx="41">
                  <c:v>8.0515739661202929E-2</c:v>
                </c:pt>
                <c:pt idx="42">
                  <c:v>8.4310069259456583E-2</c:v>
                </c:pt>
                <c:pt idx="43">
                  <c:v>6.6153062523876219E-2</c:v>
                </c:pt>
                <c:pt idx="44">
                  <c:v>6.1251005382664106E-2</c:v>
                </c:pt>
                <c:pt idx="45">
                  <c:v>5.005988023952096E-2</c:v>
                </c:pt>
                <c:pt idx="46">
                  <c:v>4.8676748582230624E-2</c:v>
                </c:pt>
                <c:pt idx="47">
                  <c:v>7.5531367213355891E-2</c:v>
                </c:pt>
                <c:pt idx="48">
                  <c:v>6.570330296127562E-2</c:v>
                </c:pt>
                <c:pt idx="49">
                  <c:v>5.2314138784839058E-2</c:v>
                </c:pt>
                <c:pt idx="50">
                  <c:v>6.0077299079231559E-2</c:v>
                </c:pt>
                <c:pt idx="51">
                  <c:v>7.0839908819919334E-2</c:v>
                </c:pt>
                <c:pt idx="52">
                  <c:v>5.876239206907579E-2</c:v>
                </c:pt>
                <c:pt idx="53">
                  <c:v>4.7497683039851711E-2</c:v>
                </c:pt>
                <c:pt idx="54">
                  <c:v>4.5813695591904631E-2</c:v>
                </c:pt>
                <c:pt idx="55">
                  <c:v>3.8245832290509311E-2</c:v>
                </c:pt>
                <c:pt idx="56">
                  <c:v>3.4981306440223084E-2</c:v>
                </c:pt>
                <c:pt idx="57">
                  <c:v>4.2582274089304477E-2</c:v>
                </c:pt>
                <c:pt idx="58">
                  <c:v>5.4100699934410974E-2</c:v>
                </c:pt>
                <c:pt idx="59">
                  <c:v>5.6956671807479202E-2</c:v>
                </c:pt>
                <c:pt idx="60">
                  <c:v>4.9041527714610268E-2</c:v>
                </c:pt>
                <c:pt idx="61">
                  <c:v>4.6129391557863719E-2</c:v>
                </c:pt>
                <c:pt idx="62">
                  <c:v>4.7631746718396428E-2</c:v>
                </c:pt>
                <c:pt idx="63">
                  <c:v>5.0794637513457912E-2</c:v>
                </c:pt>
                <c:pt idx="64">
                  <c:v>5.5489620069653071E-2</c:v>
                </c:pt>
                <c:pt idx="65">
                  <c:v>5.5146964544503449E-2</c:v>
                </c:pt>
                <c:pt idx="66">
                  <c:v>4.5229622415351882E-2</c:v>
                </c:pt>
                <c:pt idx="67">
                  <c:v>5.421037426374932E-2</c:v>
                </c:pt>
                <c:pt idx="68">
                  <c:v>5.9312057944599289E-2</c:v>
                </c:pt>
                <c:pt idx="69">
                  <c:v>5.4723151146953718E-2</c:v>
                </c:pt>
                <c:pt idx="70">
                  <c:v>5.032704886494805E-2</c:v>
                </c:pt>
                <c:pt idx="71">
                  <c:v>4.4938820912124582E-2</c:v>
                </c:pt>
                <c:pt idx="72">
                  <c:v>4.4825581395348833E-2</c:v>
                </c:pt>
                <c:pt idx="73">
                  <c:v>4.1851311953352767E-2</c:v>
                </c:pt>
                <c:pt idx="74">
                  <c:v>4.3181818181818182E-2</c:v>
                </c:pt>
                <c:pt idx="75">
                  <c:v>4.6259541984732824E-2</c:v>
                </c:pt>
                <c:pt idx="76">
                  <c:v>4.3003842123646517E-2</c:v>
                </c:pt>
                <c:pt idx="77">
                  <c:v>4.9284253578732104E-2</c:v>
                </c:pt>
                <c:pt idx="78">
                  <c:v>4.4212285833681572E-2</c:v>
                </c:pt>
                <c:pt idx="79">
                  <c:v>3.6263970954652239E-2</c:v>
                </c:pt>
                <c:pt idx="80">
                  <c:v>3.6433993153743113E-2</c:v>
                </c:pt>
                <c:pt idx="81">
                  <c:v>3.2594582493843741E-2</c:v>
                </c:pt>
                <c:pt idx="82">
                  <c:v>2.9837933841485975E-2</c:v>
                </c:pt>
                <c:pt idx="83">
                  <c:v>2.6172300981461283E-2</c:v>
                </c:pt>
                <c:pt idx="84">
                  <c:v>3.259658246656761E-2</c:v>
                </c:pt>
                <c:pt idx="85">
                  <c:v>2.9664541169947326E-2</c:v>
                </c:pt>
                <c:pt idx="86">
                  <c:v>2.7152970696298951E-2</c:v>
                </c:pt>
                <c:pt idx="87">
                  <c:v>2.3973521781912515E-2</c:v>
                </c:pt>
                <c:pt idx="88">
                  <c:v>2.0609318996415771E-2</c:v>
                </c:pt>
                <c:pt idx="89">
                  <c:v>2.0987328405491026E-2</c:v>
                </c:pt>
                <c:pt idx="90">
                  <c:v>2.0326428663709574E-2</c:v>
                </c:pt>
                <c:pt idx="91">
                  <c:v>2.0957812782907839E-2</c:v>
                </c:pt>
                <c:pt idx="92">
                  <c:v>1.9673523306284205E-2</c:v>
                </c:pt>
                <c:pt idx="93">
                  <c:v>2.1268550902731827E-2</c:v>
                </c:pt>
                <c:pt idx="94">
                  <c:v>1.9758351101634684E-2</c:v>
                </c:pt>
                <c:pt idx="95">
                  <c:v>1.9951271089045187E-2</c:v>
                </c:pt>
                <c:pt idx="96">
                  <c:v>1.7330942858456305E-2</c:v>
                </c:pt>
                <c:pt idx="97">
                  <c:v>1.8270923538088214E-2</c:v>
                </c:pt>
                <c:pt idx="98">
                  <c:v>1.7313490905553935E-2</c:v>
                </c:pt>
                <c:pt idx="99">
                  <c:v>1.5241617110589176E-2</c:v>
                </c:pt>
                <c:pt idx="100">
                  <c:v>1.4614838120369431E-2</c:v>
                </c:pt>
                <c:pt idx="101">
                  <c:v>1.5261369974141865E-2</c:v>
                </c:pt>
                <c:pt idx="102">
                  <c:v>1.2728840204878543E-2</c:v>
                </c:pt>
                <c:pt idx="103">
                  <c:v>1.5016743407283381E-2</c:v>
                </c:pt>
                <c:pt idx="104">
                  <c:v>1.346349836399721E-2</c:v>
                </c:pt>
                <c:pt idx="105">
                  <c:v>1.254746574211656E-2</c:v>
                </c:pt>
                <c:pt idx="106">
                  <c:v>1.0839669956317749E-2</c:v>
                </c:pt>
                <c:pt idx="107">
                  <c:v>1.2633413199738619E-2</c:v>
                </c:pt>
                <c:pt idx="108">
                  <c:v>1.0234077299945563E-2</c:v>
                </c:pt>
                <c:pt idx="109">
                  <c:v>9.3990010204629687E-3</c:v>
                </c:pt>
                <c:pt idx="110">
                  <c:v>7.6387798880343223E-3</c:v>
                </c:pt>
                <c:pt idx="111">
                  <c:v>8.0788074637756693E-3</c:v>
                </c:pt>
                <c:pt idx="112">
                  <c:v>6.1053167133045027E-3</c:v>
                </c:pt>
                <c:pt idx="113">
                  <c:v>8.334170097399337E-3</c:v>
                </c:pt>
                <c:pt idx="114">
                  <c:v>7.2289156626506026E-3</c:v>
                </c:pt>
                <c:pt idx="115">
                  <c:v>7.3591989987484355E-3</c:v>
                </c:pt>
                <c:pt idx="116">
                  <c:v>7.4388391220074389E-3</c:v>
                </c:pt>
                <c:pt idx="117">
                  <c:v>6.9261591299370345E-3</c:v>
                </c:pt>
                <c:pt idx="118">
                  <c:v>6.6303871895915427E-3</c:v>
                </c:pt>
                <c:pt idx="119">
                  <c:v>6.7767042404723562E-3</c:v>
                </c:pt>
                <c:pt idx="120">
                  <c:v>6.2455642299503195E-3</c:v>
                </c:pt>
                <c:pt idx="121">
                  <c:v>5.6118358720209901E-3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1-4E1D-BBED-45CE4FD31050}"/>
            </c:ext>
          </c:extLst>
        </c:ser>
        <c:ser>
          <c:idx val="1"/>
          <c:order val="1"/>
          <c:tx>
            <c:strRef>
              <c:f>'[1]tabla total (MIRAR)'!$A$53</c:f>
              <c:strCache>
                <c:ptCount val="1"/>
                <c:pt idx="0">
                  <c:v>Artigas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(MIRAR)'!$B$53:$DS$53</c:f>
              <c:numCache>
                <c:formatCode>General</c:formatCode>
                <c:ptCount val="122"/>
                <c:pt idx="0">
                  <c:v>0.1295215869311552</c:v>
                </c:pt>
                <c:pt idx="1">
                  <c:v>0.13058035714285715</c:v>
                </c:pt>
                <c:pt idx="2">
                  <c:v>0.19101123595505617</c:v>
                </c:pt>
                <c:pt idx="3">
                  <c:v>0.14319809069212411</c:v>
                </c:pt>
                <c:pt idx="4">
                  <c:v>0.11708683473389356</c:v>
                </c:pt>
                <c:pt idx="5">
                  <c:v>9.398099260823653E-2</c:v>
                </c:pt>
                <c:pt idx="6">
                  <c:v>0.12778684067427951</c:v>
                </c:pt>
                <c:pt idx="7">
                  <c:v>0.16367713004484305</c:v>
                </c:pt>
                <c:pt idx="8">
                  <c:v>0.14195583596214512</c:v>
                </c:pt>
                <c:pt idx="9">
                  <c:v>0.15107161526398327</c:v>
                </c:pt>
                <c:pt idx="10">
                  <c:v>0.16008316008316009</c:v>
                </c:pt>
                <c:pt idx="11">
                  <c:v>0.16649949849548645</c:v>
                </c:pt>
                <c:pt idx="12">
                  <c:v>0.14313346228239845</c:v>
                </c:pt>
                <c:pt idx="13">
                  <c:v>0.13169845594913715</c:v>
                </c:pt>
                <c:pt idx="14">
                  <c:v>0.13212669683257919</c:v>
                </c:pt>
                <c:pt idx="15">
                  <c:v>0.15280464216634429</c:v>
                </c:pt>
                <c:pt idx="16">
                  <c:v>0.22440087145969498</c:v>
                </c:pt>
                <c:pt idx="17">
                  <c:v>0.15009940357852883</c:v>
                </c:pt>
                <c:pt idx="18">
                  <c:v>0.19239130434782609</c:v>
                </c:pt>
                <c:pt idx="19">
                  <c:v>0.10542476970317298</c:v>
                </c:pt>
                <c:pt idx="20">
                  <c:v>0.13012295081967212</c:v>
                </c:pt>
                <c:pt idx="21">
                  <c:v>0.15519013360739981</c:v>
                </c:pt>
                <c:pt idx="22">
                  <c:v>0.13299492385786801</c:v>
                </c:pt>
                <c:pt idx="23">
                  <c:v>0.15308151093439365</c:v>
                </c:pt>
                <c:pt idx="24">
                  <c:v>0.16850828729281769</c:v>
                </c:pt>
                <c:pt idx="25">
                  <c:v>0.16593886462882096</c:v>
                </c:pt>
                <c:pt idx="26">
                  <c:v>0.12903225806451613</c:v>
                </c:pt>
                <c:pt idx="27">
                  <c:v>0.18028419182948491</c:v>
                </c:pt>
                <c:pt idx="28">
                  <c:v>0.13977566867989646</c:v>
                </c:pt>
                <c:pt idx="29">
                  <c:v>0.12052730696798493</c:v>
                </c:pt>
                <c:pt idx="30">
                  <c:v>0.13178984861976847</c:v>
                </c:pt>
                <c:pt idx="31">
                  <c:v>0.1455223880597015</c:v>
                </c:pt>
                <c:pt idx="32">
                  <c:v>0.16281138790035588</c:v>
                </c:pt>
                <c:pt idx="33">
                  <c:v>0.1438415159345392</c:v>
                </c:pt>
                <c:pt idx="34">
                  <c:v>0.14349376114081996</c:v>
                </c:pt>
                <c:pt idx="35">
                  <c:v>0.13127753303964756</c:v>
                </c:pt>
                <c:pt idx="36">
                  <c:v>0.13499570077386069</c:v>
                </c:pt>
                <c:pt idx="37">
                  <c:v>0.16979362101313319</c:v>
                </c:pt>
                <c:pt idx="38">
                  <c:v>0.12786596119929453</c:v>
                </c:pt>
                <c:pt idx="39">
                  <c:v>0.11350455675227837</c:v>
                </c:pt>
                <c:pt idx="40">
                  <c:v>0.11479028697571744</c:v>
                </c:pt>
                <c:pt idx="41">
                  <c:v>0.10307298335467349</c:v>
                </c:pt>
                <c:pt idx="42">
                  <c:v>0.11629686304514154</c:v>
                </c:pt>
                <c:pt idx="43">
                  <c:v>0.1440677966101695</c:v>
                </c:pt>
                <c:pt idx="44">
                  <c:v>9.7697138869504541E-2</c:v>
                </c:pt>
                <c:pt idx="45">
                  <c:v>9.110169491525423E-2</c:v>
                </c:pt>
                <c:pt idx="46">
                  <c:v>4.9792531120331947E-2</c:v>
                </c:pt>
                <c:pt idx="47">
                  <c:v>7.720588235294118E-2</c:v>
                </c:pt>
                <c:pt idx="48">
                  <c:v>5.9646987218502742E-2</c:v>
                </c:pt>
                <c:pt idx="49">
                  <c:v>4.9368541905855337E-2</c:v>
                </c:pt>
                <c:pt idx="50">
                  <c:v>0.11535337124289195</c:v>
                </c:pt>
                <c:pt idx="51">
                  <c:v>0.1264131551901336</c:v>
                </c:pt>
                <c:pt idx="52">
                  <c:v>0.10645724258289703</c:v>
                </c:pt>
                <c:pt idx="53">
                  <c:v>0.10237659963436929</c:v>
                </c:pt>
                <c:pt idx="54">
                  <c:v>6.5198237885462557E-2</c:v>
                </c:pt>
                <c:pt idx="55">
                  <c:v>0.11082701745247049</c:v>
                </c:pt>
                <c:pt idx="56">
                  <c:v>8.0833394913070969E-2</c:v>
                </c:pt>
                <c:pt idx="57">
                  <c:v>0.11873727994771395</c:v>
                </c:pt>
                <c:pt idx="58">
                  <c:v>0.10189478898245935</c:v>
                </c:pt>
                <c:pt idx="59">
                  <c:v>8.640633895568689E-2</c:v>
                </c:pt>
                <c:pt idx="60">
                  <c:v>9.5230181146885529E-2</c:v>
                </c:pt>
                <c:pt idx="61">
                  <c:v>7.0968609216852538E-2</c:v>
                </c:pt>
                <c:pt idx="62">
                  <c:v>6.974255153678062E-2</c:v>
                </c:pt>
                <c:pt idx="63">
                  <c:v>8.1341416837273972E-2</c:v>
                </c:pt>
                <c:pt idx="64">
                  <c:v>5.6991520019889177E-2</c:v>
                </c:pt>
                <c:pt idx="65">
                  <c:v>8.728352932684863E-2</c:v>
                </c:pt>
                <c:pt idx="66">
                  <c:v>7.6483255968546451E-2</c:v>
                </c:pt>
                <c:pt idx="67">
                  <c:v>8.0079062348740737E-2</c:v>
                </c:pt>
                <c:pt idx="68">
                  <c:v>9.1121234910904209E-2</c:v>
                </c:pt>
                <c:pt idx="69">
                  <c:v>6.8856230778151492E-2</c:v>
                </c:pt>
                <c:pt idx="70">
                  <c:v>4.7333333333333331E-2</c:v>
                </c:pt>
                <c:pt idx="71">
                  <c:v>5.2702702702702706E-2</c:v>
                </c:pt>
                <c:pt idx="72">
                  <c:v>6.225165562913907E-2</c:v>
                </c:pt>
                <c:pt idx="73">
                  <c:v>5.7894736842105263E-2</c:v>
                </c:pt>
                <c:pt idx="74">
                  <c:v>6.5034965034965031E-2</c:v>
                </c:pt>
                <c:pt idx="75">
                  <c:v>5.3435114503816793E-2</c:v>
                </c:pt>
                <c:pt idx="76">
                  <c:v>5.2816901408450703E-2</c:v>
                </c:pt>
                <c:pt idx="77">
                  <c:v>5.2504038772213248E-2</c:v>
                </c:pt>
                <c:pt idx="78">
                  <c:v>4.4709388971684055E-2</c:v>
                </c:pt>
                <c:pt idx="79">
                  <c:v>3.7565740045078885E-2</c:v>
                </c:pt>
                <c:pt idx="80">
                  <c:v>3.4057971014492754E-2</c:v>
                </c:pt>
                <c:pt idx="81">
                  <c:v>3.591160220994475E-2</c:v>
                </c:pt>
                <c:pt idx="82">
                  <c:v>3.6298932384341634E-2</c:v>
                </c:pt>
                <c:pt idx="83">
                  <c:v>4.077540106951872E-2</c:v>
                </c:pt>
                <c:pt idx="84">
                  <c:v>2.9520295202952029E-2</c:v>
                </c:pt>
                <c:pt idx="85">
                  <c:v>2.954808806488992E-2</c:v>
                </c:pt>
                <c:pt idx="86">
                  <c:v>2.132701421800948E-2</c:v>
                </c:pt>
                <c:pt idx="87">
                  <c:v>2.567237163814181E-2</c:v>
                </c:pt>
                <c:pt idx="88">
                  <c:v>2.3001725129384705E-2</c:v>
                </c:pt>
                <c:pt idx="89">
                  <c:v>2.1666666666666667E-2</c:v>
                </c:pt>
                <c:pt idx="90">
                  <c:v>1.9573978123200921E-2</c:v>
                </c:pt>
                <c:pt idx="91">
                  <c:v>2.3382272974442633E-2</c:v>
                </c:pt>
                <c:pt idx="92">
                  <c:v>2.2131624927198602E-2</c:v>
                </c:pt>
                <c:pt idx="93">
                  <c:v>1.7462165308498253E-2</c:v>
                </c:pt>
                <c:pt idx="94">
                  <c:v>2.0224719101123594E-2</c:v>
                </c:pt>
                <c:pt idx="95">
                  <c:v>1.853932584269663E-2</c:v>
                </c:pt>
                <c:pt idx="96">
                  <c:v>2.4157303370786518E-2</c:v>
                </c:pt>
                <c:pt idx="97">
                  <c:v>2.3730684326710817E-2</c:v>
                </c:pt>
                <c:pt idx="98">
                  <c:v>1.831964624131396E-2</c:v>
                </c:pt>
                <c:pt idx="99">
                  <c:v>1.5974440894568689E-2</c:v>
                </c:pt>
                <c:pt idx="100">
                  <c:v>1.7663043478260868E-2</c:v>
                </c:pt>
                <c:pt idx="101">
                  <c:v>1.1204481792717087E-2</c:v>
                </c:pt>
                <c:pt idx="102">
                  <c:v>1.31852879944483E-2</c:v>
                </c:pt>
                <c:pt idx="103">
                  <c:v>2.9850746268656716E-2</c:v>
                </c:pt>
                <c:pt idx="104">
                  <c:v>1.5479876160990712E-2</c:v>
                </c:pt>
                <c:pt idx="105">
                  <c:v>1.3181019332161687E-2</c:v>
                </c:pt>
                <c:pt idx="106">
                  <c:v>1.2832263978001834E-2</c:v>
                </c:pt>
                <c:pt idx="107">
                  <c:v>1.0752688172043012E-2</c:v>
                </c:pt>
                <c:pt idx="108">
                  <c:v>1.4349775784753363E-2</c:v>
                </c:pt>
                <c:pt idx="109">
                  <c:v>6.5843621399176953E-3</c:v>
                </c:pt>
                <c:pt idx="110">
                  <c:v>6.956521739130435E-3</c:v>
                </c:pt>
                <c:pt idx="111">
                  <c:v>1.1494252873563218E-2</c:v>
                </c:pt>
                <c:pt idx="112">
                  <c:v>1.3077593722755012E-2</c:v>
                </c:pt>
                <c:pt idx="113">
                  <c:v>8.5910652920962206E-3</c:v>
                </c:pt>
                <c:pt idx="114">
                  <c:v>8.9206066012488851E-3</c:v>
                </c:pt>
                <c:pt idx="115">
                  <c:v>9.4043887147335428E-3</c:v>
                </c:pt>
                <c:pt idx="116">
                  <c:v>9.1743119266055051E-3</c:v>
                </c:pt>
                <c:pt idx="117">
                  <c:v>5.3908355795148251E-3</c:v>
                </c:pt>
                <c:pt idx="118">
                  <c:v>5.4298642533936649E-3</c:v>
                </c:pt>
                <c:pt idx="119">
                  <c:v>6.653992395437262E-3</c:v>
                </c:pt>
                <c:pt idx="120">
                  <c:v>4.8780487804878049E-3</c:v>
                </c:pt>
                <c:pt idx="121">
                  <c:v>7.6701821668264617E-3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1-4E1D-BBED-45CE4FD31050}"/>
            </c:ext>
          </c:extLst>
        </c:ser>
        <c:ser>
          <c:idx val="2"/>
          <c:order val="2"/>
          <c:tx>
            <c:strRef>
              <c:f>'[1]tabla total (MIRAR)'!$A$54</c:f>
              <c:strCache>
                <c:ptCount val="1"/>
                <c:pt idx="0">
                  <c:v>Canelones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(MIRAR)'!$B$54:$DS$54</c:f>
              <c:numCache>
                <c:formatCode>General</c:formatCode>
                <c:ptCount val="122"/>
                <c:pt idx="0">
                  <c:v>9.7508896797153022E-2</c:v>
                </c:pt>
                <c:pt idx="1">
                  <c:v>8.4805653710247356E-2</c:v>
                </c:pt>
                <c:pt idx="2">
                  <c:v>8.5902320748181507E-2</c:v>
                </c:pt>
                <c:pt idx="3">
                  <c:v>8.7405368203716444E-2</c:v>
                </c:pt>
                <c:pt idx="4">
                  <c:v>7.2412575061815615E-2</c:v>
                </c:pt>
                <c:pt idx="5">
                  <c:v>5.6603773584905662E-2</c:v>
                </c:pt>
                <c:pt idx="6">
                  <c:v>7.7944774554351628E-2</c:v>
                </c:pt>
                <c:pt idx="7">
                  <c:v>9.7774780849629137E-2</c:v>
                </c:pt>
                <c:pt idx="8">
                  <c:v>7.5185643564356433E-2</c:v>
                </c:pt>
                <c:pt idx="9">
                  <c:v>7.6590672030993887E-2</c:v>
                </c:pt>
                <c:pt idx="10">
                  <c:v>7.7895947111238859E-2</c:v>
                </c:pt>
                <c:pt idx="11">
                  <c:v>7.3191733639494827E-2</c:v>
                </c:pt>
                <c:pt idx="12">
                  <c:v>8.7714366038796746E-2</c:v>
                </c:pt>
                <c:pt idx="13">
                  <c:v>6.6350710900473939E-2</c:v>
                </c:pt>
                <c:pt idx="14">
                  <c:v>5.5588063194850788E-2</c:v>
                </c:pt>
                <c:pt idx="15">
                  <c:v>7.9181494661921703E-2</c:v>
                </c:pt>
                <c:pt idx="16">
                  <c:v>8.7431693989071038E-2</c:v>
                </c:pt>
                <c:pt idx="17">
                  <c:v>7.6184577268504181E-2</c:v>
                </c:pt>
                <c:pt idx="18">
                  <c:v>6.6057210262459448E-2</c:v>
                </c:pt>
                <c:pt idx="19">
                  <c:v>7.0223025919228452E-2</c:v>
                </c:pt>
                <c:pt idx="20">
                  <c:v>7.9157357165655917E-2</c:v>
                </c:pt>
                <c:pt idx="21">
                  <c:v>9.2150170648464161E-2</c:v>
                </c:pt>
                <c:pt idx="22">
                  <c:v>7.2045251562965165E-2</c:v>
                </c:pt>
                <c:pt idx="23">
                  <c:v>6.3594470046082943E-2</c:v>
                </c:pt>
                <c:pt idx="24">
                  <c:v>6.837862048372649E-2</c:v>
                </c:pt>
                <c:pt idx="25">
                  <c:v>8.6811857229280101E-2</c:v>
                </c:pt>
                <c:pt idx="26">
                  <c:v>7.0213424064336533E-2</c:v>
                </c:pt>
                <c:pt idx="27">
                  <c:v>7.8203517587939697E-2</c:v>
                </c:pt>
                <c:pt idx="28">
                  <c:v>7.2613458528951486E-2</c:v>
                </c:pt>
                <c:pt idx="29">
                  <c:v>6.3389391979301421E-2</c:v>
                </c:pt>
                <c:pt idx="30">
                  <c:v>7.1835443037974678E-2</c:v>
                </c:pt>
                <c:pt idx="31">
                  <c:v>7.0547295159759577E-2</c:v>
                </c:pt>
                <c:pt idx="32">
                  <c:v>6.7913385826771658E-2</c:v>
                </c:pt>
                <c:pt idx="33">
                  <c:v>6.3768115942028983E-2</c:v>
                </c:pt>
                <c:pt idx="34">
                  <c:v>6.4984445212582093E-2</c:v>
                </c:pt>
                <c:pt idx="35">
                  <c:v>6.7760342368045651E-2</c:v>
                </c:pt>
                <c:pt idx="36">
                  <c:v>6.7964872088583428E-2</c:v>
                </c:pt>
                <c:pt idx="37">
                  <c:v>6.8103116583301274E-2</c:v>
                </c:pt>
                <c:pt idx="38">
                  <c:v>8.3534136546184745E-2</c:v>
                </c:pt>
                <c:pt idx="39">
                  <c:v>5.2299703264094957E-2</c:v>
                </c:pt>
                <c:pt idx="40">
                  <c:v>6.3781321184510256E-2</c:v>
                </c:pt>
                <c:pt idx="41">
                  <c:v>6.0161974546856921E-2</c:v>
                </c:pt>
                <c:pt idx="42">
                  <c:v>7.4615080931701536E-2</c:v>
                </c:pt>
                <c:pt idx="43">
                  <c:v>6.6459385930820056E-2</c:v>
                </c:pt>
                <c:pt idx="44">
                  <c:v>4.9777117384843979E-2</c:v>
                </c:pt>
                <c:pt idx="45">
                  <c:v>4.4983934309175293E-2</c:v>
                </c:pt>
                <c:pt idx="46">
                  <c:v>3.4144569560479475E-2</c:v>
                </c:pt>
                <c:pt idx="47">
                  <c:v>3.2248062015503877E-2</c:v>
                </c:pt>
                <c:pt idx="48">
                  <c:v>2.9394121175764846E-2</c:v>
                </c:pt>
                <c:pt idx="49">
                  <c:v>2.5898078529657476E-2</c:v>
                </c:pt>
                <c:pt idx="50">
                  <c:v>3.4677990092002828E-2</c:v>
                </c:pt>
                <c:pt idx="51">
                  <c:v>2.972560975609756E-2</c:v>
                </c:pt>
                <c:pt idx="52">
                  <c:v>4.3478260869565216E-2</c:v>
                </c:pt>
                <c:pt idx="53">
                  <c:v>4.647731464404279E-2</c:v>
                </c:pt>
                <c:pt idx="54">
                  <c:v>4.4821731748726654E-2</c:v>
                </c:pt>
                <c:pt idx="55">
                  <c:v>4.6257517432315307E-2</c:v>
                </c:pt>
                <c:pt idx="56">
                  <c:v>4.59160092741559E-2</c:v>
                </c:pt>
                <c:pt idx="57">
                  <c:v>5.0200212984734108E-2</c:v>
                </c:pt>
                <c:pt idx="58">
                  <c:v>6.0128378475536585E-2</c:v>
                </c:pt>
                <c:pt idx="59">
                  <c:v>5.9146028666274844E-2</c:v>
                </c:pt>
                <c:pt idx="60">
                  <c:v>5.533000270022808E-2</c:v>
                </c:pt>
                <c:pt idx="61">
                  <c:v>4.1104058214692062E-2</c:v>
                </c:pt>
                <c:pt idx="62">
                  <c:v>4.6758804769043642E-2</c:v>
                </c:pt>
                <c:pt idx="63">
                  <c:v>5.112753648353964E-2</c:v>
                </c:pt>
                <c:pt idx="64">
                  <c:v>4.3898514459846653E-2</c:v>
                </c:pt>
                <c:pt idx="65">
                  <c:v>4.6798288906249735E-2</c:v>
                </c:pt>
                <c:pt idx="66">
                  <c:v>4.6479321441153923E-2</c:v>
                </c:pt>
                <c:pt idx="67">
                  <c:v>5.8917305614261055E-2</c:v>
                </c:pt>
                <c:pt idx="68">
                  <c:v>6.2153281399557114E-2</c:v>
                </c:pt>
                <c:pt idx="69">
                  <c:v>5.4207565970500284E-2</c:v>
                </c:pt>
                <c:pt idx="70">
                  <c:v>4.6875E-2</c:v>
                </c:pt>
                <c:pt idx="71">
                  <c:v>4.5768025078369905E-2</c:v>
                </c:pt>
                <c:pt idx="72">
                  <c:v>4.6587537091988131E-2</c:v>
                </c:pt>
                <c:pt idx="73">
                  <c:v>4.2792792792792793E-2</c:v>
                </c:pt>
                <c:pt idx="74">
                  <c:v>3.916184971098266E-2</c:v>
                </c:pt>
                <c:pt idx="75">
                  <c:v>4.8571428571428571E-2</c:v>
                </c:pt>
                <c:pt idx="76">
                  <c:v>4.1791044776119404E-2</c:v>
                </c:pt>
                <c:pt idx="77">
                  <c:v>5.5518945634266889E-2</c:v>
                </c:pt>
                <c:pt idx="78">
                  <c:v>4.3398736282008646E-2</c:v>
                </c:pt>
                <c:pt idx="79">
                  <c:v>3.6968264686022954E-2</c:v>
                </c:pt>
                <c:pt idx="80">
                  <c:v>3.8624511082138199E-2</c:v>
                </c:pt>
                <c:pt idx="81">
                  <c:v>3.3456108041743399E-2</c:v>
                </c:pt>
                <c:pt idx="82">
                  <c:v>3.1007751937984496E-2</c:v>
                </c:pt>
                <c:pt idx="83">
                  <c:v>3.0279503105590064E-2</c:v>
                </c:pt>
                <c:pt idx="84">
                  <c:v>2.8171135884302499E-2</c:v>
                </c:pt>
                <c:pt idx="85">
                  <c:v>2.8354764259808769E-2</c:v>
                </c:pt>
                <c:pt idx="86">
                  <c:v>2.8490028490028491E-2</c:v>
                </c:pt>
                <c:pt idx="87">
                  <c:v>2.5538066174108576E-2</c:v>
                </c:pt>
                <c:pt idx="88">
                  <c:v>2.0805666223992918E-2</c:v>
                </c:pt>
                <c:pt idx="89">
                  <c:v>2.164762477450391E-2</c:v>
                </c:pt>
                <c:pt idx="90">
                  <c:v>1.925780151813326E-2</c:v>
                </c:pt>
                <c:pt idx="91">
                  <c:v>2.1570066030814381E-2</c:v>
                </c:pt>
                <c:pt idx="92">
                  <c:v>1.8998029833943147E-2</c:v>
                </c:pt>
                <c:pt idx="93">
                  <c:v>1.923587158397453E-2</c:v>
                </c:pt>
                <c:pt idx="94">
                  <c:v>1.8620508785733018E-2</c:v>
                </c:pt>
                <c:pt idx="95">
                  <c:v>1.6145970070884745E-2</c:v>
                </c:pt>
                <c:pt idx="96">
                  <c:v>1.6014702021527959E-2</c:v>
                </c:pt>
                <c:pt idx="97">
                  <c:v>1.4350545811357782E-2</c:v>
                </c:pt>
                <c:pt idx="98">
                  <c:v>1.540436456996149E-2</c:v>
                </c:pt>
                <c:pt idx="99">
                  <c:v>1.3417721518987341E-2</c:v>
                </c:pt>
                <c:pt idx="100">
                  <c:v>1.1738539478561721E-2</c:v>
                </c:pt>
                <c:pt idx="101">
                  <c:v>9.7160883280757102E-3</c:v>
                </c:pt>
                <c:pt idx="102">
                  <c:v>1.3426156141223273E-2</c:v>
                </c:pt>
                <c:pt idx="103">
                  <c:v>1.3496307613954673E-2</c:v>
                </c:pt>
                <c:pt idx="104">
                  <c:v>1.1286089238845144E-2</c:v>
                </c:pt>
                <c:pt idx="105">
                  <c:v>1.2322015334063527E-2</c:v>
                </c:pt>
                <c:pt idx="106">
                  <c:v>9.1496232508073202E-3</c:v>
                </c:pt>
                <c:pt idx="107">
                  <c:v>1.3898540653231411E-2</c:v>
                </c:pt>
                <c:pt idx="108">
                  <c:v>1.1430990685859441E-2</c:v>
                </c:pt>
                <c:pt idx="109">
                  <c:v>8.7847730600292828E-3</c:v>
                </c:pt>
                <c:pt idx="110">
                  <c:v>5.7504312823461762E-3</c:v>
                </c:pt>
                <c:pt idx="111">
                  <c:v>9.1501240694789078E-3</c:v>
                </c:pt>
                <c:pt idx="112">
                  <c:v>1.1676646706586826E-2</c:v>
                </c:pt>
                <c:pt idx="113">
                  <c:v>9.7597597597597601E-3</c:v>
                </c:pt>
                <c:pt idx="114">
                  <c:v>8.9311859443631045E-3</c:v>
                </c:pt>
                <c:pt idx="115">
                  <c:v>7.2321832153081208E-3</c:v>
                </c:pt>
                <c:pt idx="116">
                  <c:v>6.4635272391505077E-3</c:v>
                </c:pt>
                <c:pt idx="117">
                  <c:v>4.608294930875576E-3</c:v>
                </c:pt>
                <c:pt idx="118">
                  <c:v>6.5930149679258735E-3</c:v>
                </c:pt>
                <c:pt idx="119">
                  <c:v>6.1943476577622919E-3</c:v>
                </c:pt>
                <c:pt idx="120">
                  <c:v>7.9797586609575717E-3</c:v>
                </c:pt>
                <c:pt idx="121">
                  <c:v>6.383855024711697E-3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1-4E1D-BBED-45CE4FD31050}"/>
            </c:ext>
          </c:extLst>
        </c:ser>
        <c:ser>
          <c:idx val="3"/>
          <c:order val="3"/>
          <c:tx>
            <c:strRef>
              <c:f>'[1]tabla total (MIRAR)'!$A$55</c:f>
              <c:strCache>
                <c:ptCount val="1"/>
                <c:pt idx="0">
                  <c:v>Cerro Largo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(MIRAR)'!$B$55:$DS$55</c:f>
              <c:numCache>
                <c:formatCode>General</c:formatCode>
                <c:ptCount val="122"/>
                <c:pt idx="0">
                  <c:v>7.9315707620528766E-2</c:v>
                </c:pt>
                <c:pt idx="1">
                  <c:v>9.1127098321342928E-2</c:v>
                </c:pt>
                <c:pt idx="2">
                  <c:v>8.7242798353909468E-2</c:v>
                </c:pt>
                <c:pt idx="3">
                  <c:v>9.1342335186656076E-2</c:v>
                </c:pt>
                <c:pt idx="4">
                  <c:v>7.2401195616074387E-2</c:v>
                </c:pt>
                <c:pt idx="5">
                  <c:v>5.878995433789954E-2</c:v>
                </c:pt>
                <c:pt idx="6">
                  <c:v>7.2477650063856966E-2</c:v>
                </c:pt>
                <c:pt idx="7">
                  <c:v>8.9855072463768115E-2</c:v>
                </c:pt>
                <c:pt idx="8">
                  <c:v>0.1164337990685296</c:v>
                </c:pt>
                <c:pt idx="9">
                  <c:v>0.12181303116147309</c:v>
                </c:pt>
                <c:pt idx="10">
                  <c:v>0.1279333838001514</c:v>
                </c:pt>
                <c:pt idx="11">
                  <c:v>0.11145320197044335</c:v>
                </c:pt>
                <c:pt idx="12">
                  <c:v>0.11957168352171327</c:v>
                </c:pt>
                <c:pt idx="13">
                  <c:v>0.10927717700626068</c:v>
                </c:pt>
                <c:pt idx="14">
                  <c:v>0.10344827586206896</c:v>
                </c:pt>
                <c:pt idx="15">
                  <c:v>0.12406947890818859</c:v>
                </c:pt>
                <c:pt idx="16">
                  <c:v>0.13595166163141995</c:v>
                </c:pt>
                <c:pt idx="17">
                  <c:v>0.14039262343842951</c:v>
                </c:pt>
                <c:pt idx="18">
                  <c:v>0.16586826347305389</c:v>
                </c:pt>
                <c:pt idx="19">
                  <c:v>0.11672278338945005</c:v>
                </c:pt>
                <c:pt idx="20">
                  <c:v>0.11105121293800539</c:v>
                </c:pt>
                <c:pt idx="21">
                  <c:v>0.1118421052631579</c:v>
                </c:pt>
                <c:pt idx="22">
                  <c:v>0.10262675626145389</c:v>
                </c:pt>
                <c:pt idx="23">
                  <c:v>0.15439856373429084</c:v>
                </c:pt>
                <c:pt idx="24">
                  <c:v>0.10334703464474457</c:v>
                </c:pt>
                <c:pt idx="25">
                  <c:v>0.1361111111111111</c:v>
                </c:pt>
                <c:pt idx="26">
                  <c:v>7.8125E-2</c:v>
                </c:pt>
                <c:pt idx="27">
                  <c:v>0.10409745293466224</c:v>
                </c:pt>
                <c:pt idx="28">
                  <c:v>0.11205523101433883</c:v>
                </c:pt>
                <c:pt idx="29">
                  <c:v>0.13597430406852248</c:v>
                </c:pt>
                <c:pt idx="30">
                  <c:v>0.10881104033970276</c:v>
                </c:pt>
                <c:pt idx="31">
                  <c:v>0.14721627408993576</c:v>
                </c:pt>
                <c:pt idx="32">
                  <c:v>0.11496149614961496</c:v>
                </c:pt>
                <c:pt idx="33">
                  <c:v>0.13810888252148998</c:v>
                </c:pt>
                <c:pt idx="34">
                  <c:v>0.12537673297166968</c:v>
                </c:pt>
                <c:pt idx="35">
                  <c:v>0.16970802919708028</c:v>
                </c:pt>
                <c:pt idx="36">
                  <c:v>0.11767986614612382</c:v>
                </c:pt>
                <c:pt idx="37">
                  <c:v>0.1379495437466452</c:v>
                </c:pt>
                <c:pt idx="38">
                  <c:v>0.13520822065981611</c:v>
                </c:pt>
                <c:pt idx="39">
                  <c:v>0.11802575107296137</c:v>
                </c:pt>
                <c:pt idx="40">
                  <c:v>0.1152099886492622</c:v>
                </c:pt>
                <c:pt idx="41">
                  <c:v>0.10457856399583768</c:v>
                </c:pt>
                <c:pt idx="42">
                  <c:v>0.13890489913544668</c:v>
                </c:pt>
                <c:pt idx="43">
                  <c:v>0.1270820481184454</c:v>
                </c:pt>
                <c:pt idx="44">
                  <c:v>0.10038058991436727</c:v>
                </c:pt>
                <c:pt idx="45">
                  <c:v>6.4733915806195391E-2</c:v>
                </c:pt>
                <c:pt idx="46">
                  <c:v>4.5606229143492771E-2</c:v>
                </c:pt>
                <c:pt idx="47">
                  <c:v>6.1224489795918366E-2</c:v>
                </c:pt>
                <c:pt idx="48">
                  <c:v>4.2947056645686786E-2</c:v>
                </c:pt>
                <c:pt idx="49">
                  <c:v>2.8639618138424822E-2</c:v>
                </c:pt>
                <c:pt idx="50">
                  <c:v>7.3918269230769232E-2</c:v>
                </c:pt>
                <c:pt idx="51">
                  <c:v>7.303754266211604E-2</c:v>
                </c:pt>
                <c:pt idx="52">
                  <c:v>7.2083078802687842E-2</c:v>
                </c:pt>
                <c:pt idx="53">
                  <c:v>9.8001289490651192E-2</c:v>
                </c:pt>
                <c:pt idx="54">
                  <c:v>6.9548872180451124E-2</c:v>
                </c:pt>
                <c:pt idx="55">
                  <c:v>8.6972411297628366E-2</c:v>
                </c:pt>
                <c:pt idx="56">
                  <c:v>7.4528985221133853E-2</c:v>
                </c:pt>
                <c:pt idx="57">
                  <c:v>9.9543705757179912E-2</c:v>
                </c:pt>
                <c:pt idx="58">
                  <c:v>7.0237743632115171E-2</c:v>
                </c:pt>
                <c:pt idx="59">
                  <c:v>7.50427840267269E-2</c:v>
                </c:pt>
                <c:pt idx="60">
                  <c:v>6.726106358661621E-2</c:v>
                </c:pt>
                <c:pt idx="61">
                  <c:v>6.4327718294276748E-2</c:v>
                </c:pt>
                <c:pt idx="62">
                  <c:v>6.6705687253365356E-2</c:v>
                </c:pt>
                <c:pt idx="63">
                  <c:v>5.9756011017213777E-2</c:v>
                </c:pt>
                <c:pt idx="64">
                  <c:v>6.1548080618582815E-2</c:v>
                </c:pt>
                <c:pt idx="65">
                  <c:v>4.5055124064620186E-2</c:v>
                </c:pt>
                <c:pt idx="66">
                  <c:v>3.9016881236744197E-2</c:v>
                </c:pt>
                <c:pt idx="67">
                  <c:v>4.989761984366578E-2</c:v>
                </c:pt>
                <c:pt idx="68">
                  <c:v>6.114611528127268E-2</c:v>
                </c:pt>
                <c:pt idx="69">
                  <c:v>5.2082803879621949E-2</c:v>
                </c:pt>
                <c:pt idx="70">
                  <c:v>4.3169398907103827E-2</c:v>
                </c:pt>
                <c:pt idx="71">
                  <c:v>0.05</c:v>
                </c:pt>
                <c:pt idx="72">
                  <c:v>6.1874999999999999E-2</c:v>
                </c:pt>
                <c:pt idx="73">
                  <c:v>5.7558139534883722E-2</c:v>
                </c:pt>
                <c:pt idx="74">
                  <c:v>4.3113772455089822E-2</c:v>
                </c:pt>
                <c:pt idx="75">
                  <c:v>5.3072625698324022E-2</c:v>
                </c:pt>
                <c:pt idx="76">
                  <c:v>5.5801104972375691E-2</c:v>
                </c:pt>
                <c:pt idx="77">
                  <c:v>4.3890865954922892E-2</c:v>
                </c:pt>
                <c:pt idx="78">
                  <c:v>3.860294117647059E-2</c:v>
                </c:pt>
                <c:pt idx="79">
                  <c:v>4.1244083840432724E-2</c:v>
                </c:pt>
                <c:pt idx="80">
                  <c:v>4.1666666666666664E-2</c:v>
                </c:pt>
                <c:pt idx="81">
                  <c:v>2.8005464480874317E-2</c:v>
                </c:pt>
                <c:pt idx="82">
                  <c:v>2.1834061135371178E-2</c:v>
                </c:pt>
                <c:pt idx="83">
                  <c:v>2.3305084745762712E-2</c:v>
                </c:pt>
                <c:pt idx="84">
                  <c:v>4.3656207366984993E-2</c:v>
                </c:pt>
                <c:pt idx="85">
                  <c:v>2.1711366538952746E-2</c:v>
                </c:pt>
                <c:pt idx="86">
                  <c:v>2.9850746268656716E-2</c:v>
                </c:pt>
                <c:pt idx="87">
                  <c:v>2.2889842632331903E-2</c:v>
                </c:pt>
                <c:pt idx="88">
                  <c:v>3.2383419689119168E-2</c:v>
                </c:pt>
                <c:pt idx="89">
                  <c:v>1.8925518925518924E-2</c:v>
                </c:pt>
                <c:pt idx="90">
                  <c:v>2.5000000000000001E-2</c:v>
                </c:pt>
                <c:pt idx="91">
                  <c:v>2.6871401151631478E-2</c:v>
                </c:pt>
                <c:pt idx="92">
                  <c:v>2.0547945205479451E-2</c:v>
                </c:pt>
                <c:pt idx="93">
                  <c:v>1.8833535844471446E-2</c:v>
                </c:pt>
                <c:pt idx="94">
                  <c:v>1.8202502844141068E-2</c:v>
                </c:pt>
                <c:pt idx="95">
                  <c:v>2.1764032073310423E-2</c:v>
                </c:pt>
                <c:pt idx="96">
                  <c:v>1.8900343642611683E-2</c:v>
                </c:pt>
                <c:pt idx="97">
                  <c:v>1.5957446808510637E-2</c:v>
                </c:pt>
                <c:pt idx="98">
                  <c:v>1.9127316198445904E-2</c:v>
                </c:pt>
                <c:pt idx="99">
                  <c:v>1.4267990074441687E-2</c:v>
                </c:pt>
                <c:pt idx="100">
                  <c:v>1.0759493670886076E-2</c:v>
                </c:pt>
                <c:pt idx="101">
                  <c:v>7.3284477015323115E-3</c:v>
                </c:pt>
                <c:pt idx="102">
                  <c:v>1.7173051519154558E-2</c:v>
                </c:pt>
                <c:pt idx="103">
                  <c:v>1.8975332068311195E-2</c:v>
                </c:pt>
                <c:pt idx="104">
                  <c:v>2.1739130434782608E-2</c:v>
                </c:pt>
                <c:pt idx="105">
                  <c:v>2.3151605675877519E-2</c:v>
                </c:pt>
                <c:pt idx="106">
                  <c:v>1.260835303388495E-2</c:v>
                </c:pt>
                <c:pt idx="107">
                  <c:v>2.0249221183800622E-2</c:v>
                </c:pt>
                <c:pt idx="108">
                  <c:v>1.4210919970082274E-2</c:v>
                </c:pt>
                <c:pt idx="109">
                  <c:v>1.2562814070351759E-2</c:v>
                </c:pt>
                <c:pt idx="110">
                  <c:v>7.311129163281885E-3</c:v>
                </c:pt>
                <c:pt idx="111">
                  <c:v>1.2260536398467433E-2</c:v>
                </c:pt>
                <c:pt idx="112">
                  <c:v>1.2412723041117145E-2</c:v>
                </c:pt>
                <c:pt idx="113">
                  <c:v>6.5040650406504065E-3</c:v>
                </c:pt>
                <c:pt idx="114">
                  <c:v>9.9693251533742328E-3</c:v>
                </c:pt>
                <c:pt idx="115">
                  <c:v>1.0570824524312896E-2</c:v>
                </c:pt>
                <c:pt idx="116">
                  <c:v>9.0840272520817562E-3</c:v>
                </c:pt>
                <c:pt idx="117">
                  <c:v>1.0186757215619695E-2</c:v>
                </c:pt>
                <c:pt idx="118">
                  <c:v>1.0300429184549357E-2</c:v>
                </c:pt>
                <c:pt idx="119">
                  <c:v>7.4211502782931356E-3</c:v>
                </c:pt>
                <c:pt idx="120">
                  <c:v>1.9029495718363464E-3</c:v>
                </c:pt>
                <c:pt idx="121">
                  <c:v>9.1556459816887082E-3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C1-4E1D-BBED-45CE4FD31050}"/>
            </c:ext>
          </c:extLst>
        </c:ser>
        <c:ser>
          <c:idx val="4"/>
          <c:order val="4"/>
          <c:tx>
            <c:strRef>
              <c:f>'[1]tabla total (MIRAR)'!$A$56</c:f>
              <c:strCache>
                <c:ptCount val="1"/>
                <c:pt idx="0">
                  <c:v>Colonia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(MIRAR)'!$B$56:$DS$56</c:f>
              <c:numCache>
                <c:formatCode>General</c:formatCode>
                <c:ptCount val="122"/>
                <c:pt idx="0">
                  <c:v>9.2975206611570244E-2</c:v>
                </c:pt>
                <c:pt idx="1">
                  <c:v>9.5437860513896175E-2</c:v>
                </c:pt>
                <c:pt idx="2">
                  <c:v>8.4611578426521519E-2</c:v>
                </c:pt>
                <c:pt idx="3">
                  <c:v>0.10425844346549193</c:v>
                </c:pt>
                <c:pt idx="4">
                  <c:v>9.3282636248415721E-2</c:v>
                </c:pt>
                <c:pt idx="5">
                  <c:v>8.1493165089379607E-2</c:v>
                </c:pt>
                <c:pt idx="6">
                  <c:v>8.4144818976279651E-2</c:v>
                </c:pt>
                <c:pt idx="7">
                  <c:v>8.6543033761293395E-2</c:v>
                </c:pt>
                <c:pt idx="8">
                  <c:v>8.5941148995796357E-2</c:v>
                </c:pt>
                <c:pt idx="9">
                  <c:v>9.650507328072154E-2</c:v>
                </c:pt>
                <c:pt idx="10">
                  <c:v>0.10636442894507411</c:v>
                </c:pt>
                <c:pt idx="11">
                  <c:v>9.6385542168674704E-2</c:v>
                </c:pt>
                <c:pt idx="12">
                  <c:v>9.1452991452991447E-2</c:v>
                </c:pt>
                <c:pt idx="13">
                  <c:v>7.2488342518016113E-2</c:v>
                </c:pt>
                <c:pt idx="14">
                  <c:v>7.5744680851063825E-2</c:v>
                </c:pt>
                <c:pt idx="15">
                  <c:v>0.10519423832387603</c:v>
                </c:pt>
                <c:pt idx="16">
                  <c:v>9.6525096525096526E-2</c:v>
                </c:pt>
                <c:pt idx="17">
                  <c:v>8.9537712895377125E-2</c:v>
                </c:pt>
                <c:pt idx="18">
                  <c:v>9.8148148148148151E-2</c:v>
                </c:pt>
                <c:pt idx="19">
                  <c:v>6.8469254252071524E-2</c:v>
                </c:pt>
                <c:pt idx="20">
                  <c:v>8.6996336996336993E-2</c:v>
                </c:pt>
                <c:pt idx="21">
                  <c:v>0.10022371364653244</c:v>
                </c:pt>
                <c:pt idx="22">
                  <c:v>7.7722548576592859E-2</c:v>
                </c:pt>
                <c:pt idx="23">
                  <c:v>8.1892629663330302E-2</c:v>
                </c:pt>
                <c:pt idx="24">
                  <c:v>7.3126962763571113E-2</c:v>
                </c:pt>
                <c:pt idx="25">
                  <c:v>0.11007957559681697</c:v>
                </c:pt>
                <c:pt idx="26">
                  <c:v>7.8007933010136629E-2</c:v>
                </c:pt>
                <c:pt idx="27">
                  <c:v>8.3040421792618627E-2</c:v>
                </c:pt>
                <c:pt idx="28">
                  <c:v>8.8869715271786026E-2</c:v>
                </c:pt>
                <c:pt idx="29">
                  <c:v>8.2903780068728519E-2</c:v>
                </c:pt>
                <c:pt idx="30">
                  <c:v>8.9270386266094418E-2</c:v>
                </c:pt>
                <c:pt idx="31">
                  <c:v>8.3976006855184235E-2</c:v>
                </c:pt>
                <c:pt idx="32">
                  <c:v>6.8401174989509025E-2</c:v>
                </c:pt>
                <c:pt idx="33">
                  <c:v>6.9391230310770546E-2</c:v>
                </c:pt>
                <c:pt idx="34">
                  <c:v>7.7582318448353629E-2</c:v>
                </c:pt>
                <c:pt idx="35">
                  <c:v>8.8169140800719747E-2</c:v>
                </c:pt>
                <c:pt idx="36">
                  <c:v>0.10584291187739464</c:v>
                </c:pt>
                <c:pt idx="37">
                  <c:v>7.3134328358208961E-2</c:v>
                </c:pt>
                <c:pt idx="38">
                  <c:v>9.3191694833413816E-2</c:v>
                </c:pt>
                <c:pt idx="39">
                  <c:v>6.2354583527221966E-2</c:v>
                </c:pt>
                <c:pt idx="40">
                  <c:v>9.3901258470474341E-2</c:v>
                </c:pt>
                <c:pt idx="41">
                  <c:v>6.541176470588235E-2</c:v>
                </c:pt>
                <c:pt idx="42">
                  <c:v>7.3782587309394979E-2</c:v>
                </c:pt>
                <c:pt idx="43">
                  <c:v>6.07429718875502E-2</c:v>
                </c:pt>
                <c:pt idx="44">
                  <c:v>6.3718497384688544E-2</c:v>
                </c:pt>
                <c:pt idx="45">
                  <c:v>4.2727272727272725E-2</c:v>
                </c:pt>
                <c:pt idx="46">
                  <c:v>3.925148334094021E-2</c:v>
                </c:pt>
                <c:pt idx="47">
                  <c:v>4.9219687875150062E-2</c:v>
                </c:pt>
                <c:pt idx="48">
                  <c:v>3.7170263788968823E-2</c:v>
                </c:pt>
                <c:pt idx="49">
                  <c:v>3.2628846866889133E-2</c:v>
                </c:pt>
                <c:pt idx="50">
                  <c:v>4.7507055503292567E-2</c:v>
                </c:pt>
                <c:pt idx="51">
                  <c:v>4.5965270684371805E-2</c:v>
                </c:pt>
                <c:pt idx="52">
                  <c:v>4.2063094641962943E-2</c:v>
                </c:pt>
                <c:pt idx="53">
                  <c:v>4.3837029396596186E-2</c:v>
                </c:pt>
                <c:pt idx="54">
                  <c:v>3.1818181818181815E-2</c:v>
                </c:pt>
                <c:pt idx="55">
                  <c:v>4.6280341829659156E-2</c:v>
                </c:pt>
                <c:pt idx="56">
                  <c:v>4.1587301790199913E-2</c:v>
                </c:pt>
                <c:pt idx="57">
                  <c:v>4.4416729688467688E-2</c:v>
                </c:pt>
                <c:pt idx="58">
                  <c:v>4.0760954549559129E-2</c:v>
                </c:pt>
                <c:pt idx="59">
                  <c:v>5.7433119217379258E-2</c:v>
                </c:pt>
                <c:pt idx="60">
                  <c:v>4.9314920274112439E-2</c:v>
                </c:pt>
                <c:pt idx="61">
                  <c:v>4.5189765078248581E-2</c:v>
                </c:pt>
                <c:pt idx="62">
                  <c:v>5.0392209621722549E-2</c:v>
                </c:pt>
                <c:pt idx="63">
                  <c:v>3.4598593710077293E-2</c:v>
                </c:pt>
                <c:pt idx="64">
                  <c:v>4.9507864182988526E-2</c:v>
                </c:pt>
                <c:pt idx="65">
                  <c:v>4.7377704592737123E-2</c:v>
                </c:pt>
                <c:pt idx="66">
                  <c:v>3.5151569521174417E-2</c:v>
                </c:pt>
                <c:pt idx="67">
                  <c:v>4.3645268968077501E-2</c:v>
                </c:pt>
                <c:pt idx="68">
                  <c:v>4.3949863459761353E-2</c:v>
                </c:pt>
                <c:pt idx="69">
                  <c:v>4.06826972221574E-2</c:v>
                </c:pt>
                <c:pt idx="70">
                  <c:v>3.7440758293838861E-2</c:v>
                </c:pt>
                <c:pt idx="71">
                  <c:v>3.2380952380952378E-2</c:v>
                </c:pt>
                <c:pt idx="72">
                  <c:v>2.6470588235294117E-2</c:v>
                </c:pt>
                <c:pt idx="73">
                  <c:v>2.8571428571428571E-2</c:v>
                </c:pt>
                <c:pt idx="74">
                  <c:v>3.2828282828282832E-2</c:v>
                </c:pt>
                <c:pt idx="75">
                  <c:v>2.8571428571428571E-2</c:v>
                </c:pt>
                <c:pt idx="76">
                  <c:v>3.2828282828282832E-2</c:v>
                </c:pt>
                <c:pt idx="77">
                  <c:v>3.7679722359940507E-2</c:v>
                </c:pt>
                <c:pt idx="78">
                  <c:v>3.1316348195329087E-2</c:v>
                </c:pt>
                <c:pt idx="79">
                  <c:v>3.2409827496079457E-2</c:v>
                </c:pt>
                <c:pt idx="80">
                  <c:v>2.3796347537354733E-2</c:v>
                </c:pt>
                <c:pt idx="81">
                  <c:v>2.365930599369085E-2</c:v>
                </c:pt>
                <c:pt idx="82">
                  <c:v>1.9250780437044746E-2</c:v>
                </c:pt>
                <c:pt idx="83">
                  <c:v>2.4245689655172414E-2</c:v>
                </c:pt>
                <c:pt idx="84">
                  <c:v>2.1112255406797117E-2</c:v>
                </c:pt>
                <c:pt idx="85">
                  <c:v>2.3406374501992032E-2</c:v>
                </c:pt>
                <c:pt idx="86">
                  <c:v>1.8564977420973405E-2</c:v>
                </c:pt>
                <c:pt idx="87">
                  <c:v>1.6798418972332016E-2</c:v>
                </c:pt>
                <c:pt idx="88">
                  <c:v>1.5562248995983935E-2</c:v>
                </c:pt>
                <c:pt idx="89">
                  <c:v>2.2494887525562373E-2</c:v>
                </c:pt>
                <c:pt idx="90">
                  <c:v>1.2118274357731459E-2</c:v>
                </c:pt>
                <c:pt idx="91">
                  <c:v>1.6288252714708785E-2</c:v>
                </c:pt>
                <c:pt idx="92">
                  <c:v>1.4616935483870967E-2</c:v>
                </c:pt>
                <c:pt idx="93">
                  <c:v>1.6393442622950821E-2</c:v>
                </c:pt>
                <c:pt idx="94">
                  <c:v>1.3432835820895522E-2</c:v>
                </c:pt>
                <c:pt idx="95">
                  <c:v>1.037037037037037E-2</c:v>
                </c:pt>
                <c:pt idx="96">
                  <c:v>1.6790123456790124E-2</c:v>
                </c:pt>
                <c:pt idx="97">
                  <c:v>1.11731843575419E-2</c:v>
                </c:pt>
                <c:pt idx="98">
                  <c:v>1.010611419909045E-2</c:v>
                </c:pt>
                <c:pt idx="99">
                  <c:v>1.0917030567685589E-2</c:v>
                </c:pt>
                <c:pt idx="100">
                  <c:v>9.5559302979201805E-3</c:v>
                </c:pt>
                <c:pt idx="101">
                  <c:v>1.5294117647058824E-2</c:v>
                </c:pt>
                <c:pt idx="102">
                  <c:v>1.2208657047724751E-2</c:v>
                </c:pt>
                <c:pt idx="103">
                  <c:v>9.1272104962920701E-3</c:v>
                </c:pt>
                <c:pt idx="104">
                  <c:v>1.1607661056297156E-2</c:v>
                </c:pt>
                <c:pt idx="105">
                  <c:v>1.2277470841006752E-2</c:v>
                </c:pt>
                <c:pt idx="106">
                  <c:v>1.1764705882352941E-2</c:v>
                </c:pt>
                <c:pt idx="107">
                  <c:v>1.0925819436457734E-2</c:v>
                </c:pt>
                <c:pt idx="108">
                  <c:v>6.313131313131313E-3</c:v>
                </c:pt>
                <c:pt idx="109">
                  <c:v>3.1407035175879399E-3</c:v>
                </c:pt>
                <c:pt idx="110">
                  <c:v>5.1933064050779E-3</c:v>
                </c:pt>
                <c:pt idx="111">
                  <c:v>1.2812690665039659E-2</c:v>
                </c:pt>
                <c:pt idx="112">
                  <c:v>9.9765258215962441E-3</c:v>
                </c:pt>
                <c:pt idx="113">
                  <c:v>5.7273768613974796E-3</c:v>
                </c:pt>
                <c:pt idx="114">
                  <c:v>9.9183197199533262E-3</c:v>
                </c:pt>
                <c:pt idx="115">
                  <c:v>4.595060310166571E-3</c:v>
                </c:pt>
                <c:pt idx="116">
                  <c:v>6.0864272671941567E-3</c:v>
                </c:pt>
                <c:pt idx="117">
                  <c:v>8.2539682539682548E-3</c:v>
                </c:pt>
                <c:pt idx="118">
                  <c:v>4.1237113402061857E-3</c:v>
                </c:pt>
                <c:pt idx="119">
                  <c:v>8.3270249810749441E-3</c:v>
                </c:pt>
                <c:pt idx="120">
                  <c:v>6.4935064935064939E-3</c:v>
                </c:pt>
                <c:pt idx="121">
                  <c:v>5.0718512256973797E-3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C1-4E1D-BBED-45CE4FD31050}"/>
            </c:ext>
          </c:extLst>
        </c:ser>
        <c:ser>
          <c:idx val="5"/>
          <c:order val="5"/>
          <c:tx>
            <c:strRef>
              <c:f>'[1]tabla total (MIRAR)'!$A$57</c:f>
              <c:strCache>
                <c:ptCount val="1"/>
                <c:pt idx="0">
                  <c:v>Durazno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(MIRAR)'!$B$57:$DS$57</c:f>
              <c:numCache>
                <c:formatCode>General</c:formatCode>
                <c:ptCount val="122"/>
                <c:pt idx="0">
                  <c:v>0.13271162123385941</c:v>
                </c:pt>
                <c:pt idx="1">
                  <c:v>0.10425240054869685</c:v>
                </c:pt>
                <c:pt idx="2">
                  <c:v>0.10418143160878809</c:v>
                </c:pt>
                <c:pt idx="3">
                  <c:v>9.5145631067961159E-2</c:v>
                </c:pt>
                <c:pt idx="4">
                  <c:v>9.4759962347034835E-2</c:v>
                </c:pt>
                <c:pt idx="5">
                  <c:v>9.4397076735688187E-2</c:v>
                </c:pt>
                <c:pt idx="6">
                  <c:v>0.11417450535192994</c:v>
                </c:pt>
                <c:pt idx="7">
                  <c:v>0.13671061762664816</c:v>
                </c:pt>
                <c:pt idx="8">
                  <c:v>0.1</c:v>
                </c:pt>
                <c:pt idx="9">
                  <c:v>0.10593792172739541</c:v>
                </c:pt>
                <c:pt idx="10">
                  <c:v>0.11218836565096953</c:v>
                </c:pt>
                <c:pt idx="11">
                  <c:v>9.9811676082862524E-2</c:v>
                </c:pt>
                <c:pt idx="12">
                  <c:v>0.15740162398500937</c:v>
                </c:pt>
                <c:pt idx="13">
                  <c:v>8.656174334140436E-2</c:v>
                </c:pt>
                <c:pt idx="14">
                  <c:v>0.11154598825831702</c:v>
                </c:pt>
                <c:pt idx="15">
                  <c:v>0.10723514211886305</c:v>
                </c:pt>
                <c:pt idx="16">
                  <c:v>0.14305750350631136</c:v>
                </c:pt>
                <c:pt idx="17">
                  <c:v>0.11400247831474597</c:v>
                </c:pt>
                <c:pt idx="18">
                  <c:v>0.12249848392965433</c:v>
                </c:pt>
                <c:pt idx="19">
                  <c:v>9.7122302158273388E-2</c:v>
                </c:pt>
                <c:pt idx="20">
                  <c:v>0.13508771929824562</c:v>
                </c:pt>
                <c:pt idx="21">
                  <c:v>9.6188747731397461E-2</c:v>
                </c:pt>
                <c:pt idx="22">
                  <c:v>0.10408921933085502</c:v>
                </c:pt>
                <c:pt idx="23">
                  <c:v>0.11340852130325814</c:v>
                </c:pt>
                <c:pt idx="24">
                  <c:v>9.1291291291291293E-2</c:v>
                </c:pt>
                <c:pt idx="25">
                  <c:v>0.13234421364985163</c:v>
                </c:pt>
                <c:pt idx="26">
                  <c:v>9.5118898623279102E-2</c:v>
                </c:pt>
                <c:pt idx="27">
                  <c:v>8.8511137162954279E-2</c:v>
                </c:pt>
                <c:pt idx="28">
                  <c:v>8.6058519793459548E-2</c:v>
                </c:pt>
                <c:pt idx="29">
                  <c:v>7.0391061452513962E-2</c:v>
                </c:pt>
                <c:pt idx="30">
                  <c:v>9.4664371772805511E-2</c:v>
                </c:pt>
                <c:pt idx="31">
                  <c:v>9.4295692665890565E-2</c:v>
                </c:pt>
                <c:pt idx="32">
                  <c:v>8.4946908182386011E-2</c:v>
                </c:pt>
                <c:pt idx="33">
                  <c:v>7.2151898734177211E-2</c:v>
                </c:pt>
                <c:pt idx="34">
                  <c:v>0.11567164179104478</c:v>
                </c:pt>
                <c:pt idx="35">
                  <c:v>0.10412926391382406</c:v>
                </c:pt>
                <c:pt idx="36">
                  <c:v>8.1477139507620158E-2</c:v>
                </c:pt>
                <c:pt idx="37">
                  <c:v>8.0548926014319802E-2</c:v>
                </c:pt>
                <c:pt idx="38">
                  <c:v>9.0133982947624841E-2</c:v>
                </c:pt>
                <c:pt idx="39">
                  <c:v>7.8031212484993992E-2</c:v>
                </c:pt>
                <c:pt idx="40">
                  <c:v>8.3075015499070051E-2</c:v>
                </c:pt>
                <c:pt idx="41">
                  <c:v>9.2452830188679239E-2</c:v>
                </c:pt>
                <c:pt idx="42">
                  <c:v>8.7414755114693113E-2</c:v>
                </c:pt>
                <c:pt idx="43">
                  <c:v>6.0398505603985055E-2</c:v>
                </c:pt>
                <c:pt idx="44">
                  <c:v>6.67420814479638E-2</c:v>
                </c:pt>
                <c:pt idx="45">
                  <c:v>5.1103368176538912E-2</c:v>
                </c:pt>
                <c:pt idx="46">
                  <c:v>4.8252911813643926E-2</c:v>
                </c:pt>
                <c:pt idx="47">
                  <c:v>7.3349633251833746E-2</c:v>
                </c:pt>
                <c:pt idx="48">
                  <c:v>5.368360936607653E-2</c:v>
                </c:pt>
                <c:pt idx="49">
                  <c:v>3.2756200280767429E-2</c:v>
                </c:pt>
                <c:pt idx="50">
                  <c:v>8.8125466766243471E-2</c:v>
                </c:pt>
                <c:pt idx="51">
                  <c:v>7.5614366729678639E-2</c:v>
                </c:pt>
                <c:pt idx="52">
                  <c:v>5.6466302367941715E-2</c:v>
                </c:pt>
                <c:pt idx="53">
                  <c:v>6.3978965819456612E-2</c:v>
                </c:pt>
                <c:pt idx="54">
                  <c:v>4.9455155071248952E-2</c:v>
                </c:pt>
                <c:pt idx="55">
                  <c:v>9.0542327519074872E-2</c:v>
                </c:pt>
                <c:pt idx="56">
                  <c:v>5.8694077562623417E-2</c:v>
                </c:pt>
                <c:pt idx="57">
                  <c:v>8.0507402973553077E-2</c:v>
                </c:pt>
                <c:pt idx="58">
                  <c:v>6.9616313112627712E-2</c:v>
                </c:pt>
                <c:pt idx="59">
                  <c:v>9.8988165748704421E-2</c:v>
                </c:pt>
                <c:pt idx="60">
                  <c:v>8.3062463372973613E-2</c:v>
                </c:pt>
                <c:pt idx="61">
                  <c:v>8.9788710091518092E-2</c:v>
                </c:pt>
                <c:pt idx="62">
                  <c:v>7.8052936379920224E-2</c:v>
                </c:pt>
                <c:pt idx="63">
                  <c:v>9.569285047849356E-2</c:v>
                </c:pt>
                <c:pt idx="64">
                  <c:v>7.0521618148840573E-2</c:v>
                </c:pt>
                <c:pt idx="65">
                  <c:v>8.8165895798561308E-2</c:v>
                </c:pt>
                <c:pt idx="66">
                  <c:v>7.0543816875506052E-2</c:v>
                </c:pt>
                <c:pt idx="67">
                  <c:v>5.879576571590539E-2</c:v>
                </c:pt>
                <c:pt idx="68">
                  <c:v>6.8045807497370034E-2</c:v>
                </c:pt>
                <c:pt idx="69">
                  <c:v>6.217508901238903E-2</c:v>
                </c:pt>
                <c:pt idx="70">
                  <c:v>5.6302521008403363E-2</c:v>
                </c:pt>
                <c:pt idx="71">
                  <c:v>4.3846153846153847E-2</c:v>
                </c:pt>
                <c:pt idx="72">
                  <c:v>4.1984732824427481E-2</c:v>
                </c:pt>
                <c:pt idx="73">
                  <c:v>5.2671755725190839E-2</c:v>
                </c:pt>
                <c:pt idx="74">
                  <c:v>4.7482014388489209E-2</c:v>
                </c:pt>
                <c:pt idx="75">
                  <c:v>4.4927536231884058E-2</c:v>
                </c:pt>
                <c:pt idx="76">
                  <c:v>6.0156250000000001E-2</c:v>
                </c:pt>
                <c:pt idx="77">
                  <c:v>5.3311793214862679E-2</c:v>
                </c:pt>
                <c:pt idx="78">
                  <c:v>4.4254658385093168E-2</c:v>
                </c:pt>
                <c:pt idx="79">
                  <c:v>3.7294015611448399E-2</c:v>
                </c:pt>
                <c:pt idx="80">
                  <c:v>3.7910699241786014E-2</c:v>
                </c:pt>
                <c:pt idx="81">
                  <c:v>3.5652173913043476E-2</c:v>
                </c:pt>
                <c:pt idx="82">
                  <c:v>2.3417172593235037E-2</c:v>
                </c:pt>
                <c:pt idx="83">
                  <c:v>2.3508137432188065E-2</c:v>
                </c:pt>
                <c:pt idx="84">
                  <c:v>2.5454545454545455E-2</c:v>
                </c:pt>
                <c:pt idx="85">
                  <c:v>2.2181146025878003E-2</c:v>
                </c:pt>
                <c:pt idx="86">
                  <c:v>4.7279214986619092E-2</c:v>
                </c:pt>
                <c:pt idx="87">
                  <c:v>1.9193857965451054E-2</c:v>
                </c:pt>
                <c:pt idx="88">
                  <c:v>2.4500907441016333E-2</c:v>
                </c:pt>
                <c:pt idx="89">
                  <c:v>1.7890772128060263E-2</c:v>
                </c:pt>
                <c:pt idx="90">
                  <c:v>2.66798418972332E-2</c:v>
                </c:pt>
                <c:pt idx="91">
                  <c:v>1.9090909090909092E-2</c:v>
                </c:pt>
                <c:pt idx="92">
                  <c:v>1.9677996422182469E-2</c:v>
                </c:pt>
                <c:pt idx="93">
                  <c:v>2.2149302707136997E-2</c:v>
                </c:pt>
                <c:pt idx="94">
                  <c:v>2.2867194371152155E-2</c:v>
                </c:pt>
                <c:pt idx="95">
                  <c:v>1.7361111111111112E-2</c:v>
                </c:pt>
                <c:pt idx="96">
                  <c:v>1.3888888888888888E-2</c:v>
                </c:pt>
                <c:pt idx="97">
                  <c:v>2.3316062176165803E-2</c:v>
                </c:pt>
                <c:pt idx="98">
                  <c:v>1.757631822386679E-2</c:v>
                </c:pt>
                <c:pt idx="99">
                  <c:v>1.5947467166979361E-2</c:v>
                </c:pt>
                <c:pt idx="100">
                  <c:v>1.3901760889712697E-2</c:v>
                </c:pt>
                <c:pt idx="101">
                  <c:v>9.1556459816887082E-3</c:v>
                </c:pt>
                <c:pt idx="102">
                  <c:v>1.5080113100848256E-2</c:v>
                </c:pt>
                <c:pt idx="103">
                  <c:v>1.0111223458038422E-2</c:v>
                </c:pt>
                <c:pt idx="104">
                  <c:v>1.3429752066115703E-2</c:v>
                </c:pt>
                <c:pt idx="105">
                  <c:v>1.0714285714285714E-2</c:v>
                </c:pt>
                <c:pt idx="106">
                  <c:v>1.1862396204033216E-3</c:v>
                </c:pt>
                <c:pt idx="107">
                  <c:v>9.0805902383654935E-3</c:v>
                </c:pt>
                <c:pt idx="108">
                  <c:v>9.696969696969697E-3</c:v>
                </c:pt>
                <c:pt idx="109">
                  <c:v>1.5555555555555555E-2</c:v>
                </c:pt>
                <c:pt idx="110">
                  <c:v>5.0314465408805029E-3</c:v>
                </c:pt>
                <c:pt idx="111">
                  <c:v>7.6238881829733167E-3</c:v>
                </c:pt>
                <c:pt idx="112">
                  <c:v>9.0497737556561094E-3</c:v>
                </c:pt>
                <c:pt idx="113">
                  <c:v>3.5971223021582736E-3</c:v>
                </c:pt>
                <c:pt idx="114">
                  <c:v>7.98175598631699E-3</c:v>
                </c:pt>
                <c:pt idx="115">
                  <c:v>5.6306306306306304E-3</c:v>
                </c:pt>
                <c:pt idx="116">
                  <c:v>1.2850467289719626E-2</c:v>
                </c:pt>
                <c:pt idx="117">
                  <c:v>8.0213903743315516E-3</c:v>
                </c:pt>
                <c:pt idx="118">
                  <c:v>6.4724919093851136E-3</c:v>
                </c:pt>
                <c:pt idx="119">
                  <c:v>9.8846787479406912E-3</c:v>
                </c:pt>
                <c:pt idx="120">
                  <c:v>6.6115702479338841E-3</c:v>
                </c:pt>
                <c:pt idx="121">
                  <c:v>3.246753246753247E-3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C1-4E1D-BBED-45CE4FD31050}"/>
            </c:ext>
          </c:extLst>
        </c:ser>
        <c:ser>
          <c:idx val="6"/>
          <c:order val="6"/>
          <c:tx>
            <c:strRef>
              <c:f>'[1]tabla total (MIRAR)'!$A$58</c:f>
              <c:strCache>
                <c:ptCount val="1"/>
                <c:pt idx="0">
                  <c:v>Flores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(MIRAR)'!$B$58:$DS$58</c:f>
              <c:numCache>
                <c:formatCode>General</c:formatCode>
                <c:ptCount val="122"/>
                <c:pt idx="0">
                  <c:v>9.3385214007782102E-2</c:v>
                </c:pt>
                <c:pt idx="1">
                  <c:v>0.16111111111111112</c:v>
                </c:pt>
                <c:pt idx="2">
                  <c:v>0.12248628884826325</c:v>
                </c:pt>
                <c:pt idx="3">
                  <c:v>0.11320754716981132</c:v>
                </c:pt>
                <c:pt idx="4">
                  <c:v>0.11864406779661017</c:v>
                </c:pt>
                <c:pt idx="5">
                  <c:v>0.12406015037593984</c:v>
                </c:pt>
                <c:pt idx="6">
                  <c:v>0.11091854419410745</c:v>
                </c:pt>
                <c:pt idx="7">
                  <c:v>9.9678456591639875E-2</c:v>
                </c:pt>
                <c:pt idx="8">
                  <c:v>0.11724137931034483</c:v>
                </c:pt>
                <c:pt idx="9">
                  <c:v>0.12414383561643835</c:v>
                </c:pt>
                <c:pt idx="10">
                  <c:v>0.13095238095238096</c:v>
                </c:pt>
                <c:pt idx="11">
                  <c:v>0.125</c:v>
                </c:pt>
                <c:pt idx="12">
                  <c:v>0.14009661835748793</c:v>
                </c:pt>
                <c:pt idx="13">
                  <c:v>0.12434325744308231</c:v>
                </c:pt>
                <c:pt idx="14">
                  <c:v>0.10989010989010989</c:v>
                </c:pt>
                <c:pt idx="15">
                  <c:v>9.0163934426229511E-2</c:v>
                </c:pt>
                <c:pt idx="16">
                  <c:v>0.14691151919866444</c:v>
                </c:pt>
                <c:pt idx="17">
                  <c:v>8.4175084175084181E-2</c:v>
                </c:pt>
                <c:pt idx="18">
                  <c:v>8.6821705426356588E-2</c:v>
                </c:pt>
                <c:pt idx="19">
                  <c:v>0.12328767123287671</c:v>
                </c:pt>
                <c:pt idx="20">
                  <c:v>0.14959349593495935</c:v>
                </c:pt>
                <c:pt idx="21">
                  <c:v>0.10802469135802469</c:v>
                </c:pt>
                <c:pt idx="22">
                  <c:v>8.5271317829457363E-2</c:v>
                </c:pt>
                <c:pt idx="23">
                  <c:v>0.13076923076923078</c:v>
                </c:pt>
                <c:pt idx="24">
                  <c:v>0.1130030959752322</c:v>
                </c:pt>
                <c:pt idx="25">
                  <c:v>0.1104199066874028</c:v>
                </c:pt>
                <c:pt idx="26">
                  <c:v>8.7423312883435578E-2</c:v>
                </c:pt>
                <c:pt idx="27">
                  <c:v>0.10983606557377049</c:v>
                </c:pt>
                <c:pt idx="28">
                  <c:v>7.4850299401197598E-2</c:v>
                </c:pt>
                <c:pt idx="29">
                  <c:v>8.8012139605462822E-2</c:v>
                </c:pt>
                <c:pt idx="30">
                  <c:v>6.6305818673883632E-2</c:v>
                </c:pt>
                <c:pt idx="31">
                  <c:v>0.10128388017118402</c:v>
                </c:pt>
                <c:pt idx="32">
                  <c:v>7.334273624823695E-2</c:v>
                </c:pt>
                <c:pt idx="33">
                  <c:v>9.9688473520249218E-2</c:v>
                </c:pt>
                <c:pt idx="34">
                  <c:v>0.12462006079027356</c:v>
                </c:pt>
                <c:pt idx="35">
                  <c:v>8.5168869309838469E-2</c:v>
                </c:pt>
                <c:pt idx="36">
                  <c:v>9.9673202614379092E-2</c:v>
                </c:pt>
                <c:pt idx="37">
                  <c:v>0.1130690161527166</c:v>
                </c:pt>
                <c:pt idx="38">
                  <c:v>0.11451612903225807</c:v>
                </c:pt>
                <c:pt idx="39">
                  <c:v>8.2170542635658914E-2</c:v>
                </c:pt>
                <c:pt idx="40">
                  <c:v>0.10866141732283464</c:v>
                </c:pt>
                <c:pt idx="41">
                  <c:v>6.5868263473053898E-2</c:v>
                </c:pt>
                <c:pt idx="42">
                  <c:v>0.11784511784511785</c:v>
                </c:pt>
                <c:pt idx="43">
                  <c:v>0.13398692810457516</c:v>
                </c:pt>
                <c:pt idx="44">
                  <c:v>6.2700964630225078E-2</c:v>
                </c:pt>
                <c:pt idx="45">
                  <c:v>5.0793650793650794E-2</c:v>
                </c:pt>
                <c:pt idx="46">
                  <c:v>6.097560975609756E-2</c:v>
                </c:pt>
                <c:pt idx="47">
                  <c:v>9.2369477911646583E-2</c:v>
                </c:pt>
                <c:pt idx="48">
                  <c:v>9.6774193548387094E-2</c:v>
                </c:pt>
                <c:pt idx="49">
                  <c:v>5.5555555555555552E-2</c:v>
                </c:pt>
                <c:pt idx="50">
                  <c:v>5.1039697542533083E-2</c:v>
                </c:pt>
                <c:pt idx="51">
                  <c:v>9.8639455782312924E-2</c:v>
                </c:pt>
                <c:pt idx="52">
                  <c:v>7.3954983922829579E-2</c:v>
                </c:pt>
                <c:pt idx="53">
                  <c:v>6.3253012048192767E-2</c:v>
                </c:pt>
                <c:pt idx="54">
                  <c:v>9.6885813148788927E-2</c:v>
                </c:pt>
                <c:pt idx="55">
                  <c:v>6.7044119383469117E-2</c:v>
                </c:pt>
                <c:pt idx="56">
                  <c:v>9.4179684409666564E-2</c:v>
                </c:pt>
                <c:pt idx="57">
                  <c:v>7.5509051067396776E-2</c:v>
                </c:pt>
                <c:pt idx="58">
                  <c:v>6.4008198367367597E-2</c:v>
                </c:pt>
                <c:pt idx="59">
                  <c:v>8.5633332303526585E-2</c:v>
                </c:pt>
                <c:pt idx="60">
                  <c:v>8.0099797030824552E-2</c:v>
                </c:pt>
                <c:pt idx="61">
                  <c:v>2.771417290206938E-2</c:v>
                </c:pt>
                <c:pt idx="62">
                  <c:v>8.8602178419953284E-2</c:v>
                </c:pt>
                <c:pt idx="63">
                  <c:v>7.0230015122031128E-2</c:v>
                </c:pt>
                <c:pt idx="64">
                  <c:v>7.8117660690842139E-2</c:v>
                </c:pt>
                <c:pt idx="65">
                  <c:v>5.6149243510695446E-2</c:v>
                </c:pt>
                <c:pt idx="66">
                  <c:v>4.9666539990686133E-2</c:v>
                </c:pt>
                <c:pt idx="67">
                  <c:v>6.6446352684051205E-2</c:v>
                </c:pt>
                <c:pt idx="68">
                  <c:v>3.7735543401998008E-2</c:v>
                </c:pt>
                <c:pt idx="69">
                  <c:v>4.0858632371024703E-2</c:v>
                </c:pt>
                <c:pt idx="70">
                  <c:v>4.3749999999999997E-2</c:v>
                </c:pt>
                <c:pt idx="71">
                  <c:v>2.8260869565217391E-2</c:v>
                </c:pt>
                <c:pt idx="72">
                  <c:v>2.7659574468085105E-2</c:v>
                </c:pt>
                <c:pt idx="73">
                  <c:v>4.4230769230769233E-2</c:v>
                </c:pt>
                <c:pt idx="74">
                  <c:v>4.8214285714285716E-2</c:v>
                </c:pt>
                <c:pt idx="75">
                  <c:v>4.2857142857142858E-2</c:v>
                </c:pt>
                <c:pt idx="76">
                  <c:v>3.0508474576271188E-2</c:v>
                </c:pt>
                <c:pt idx="77">
                  <c:v>4.1036717062634988E-2</c:v>
                </c:pt>
                <c:pt idx="78">
                  <c:v>3.9639639639639637E-2</c:v>
                </c:pt>
                <c:pt idx="79">
                  <c:v>2.1999999999999999E-2</c:v>
                </c:pt>
                <c:pt idx="80">
                  <c:v>4.9250535331905779E-2</c:v>
                </c:pt>
                <c:pt idx="81">
                  <c:v>3.4313725490196081E-2</c:v>
                </c:pt>
                <c:pt idx="82">
                  <c:v>2.0689655172413793E-2</c:v>
                </c:pt>
                <c:pt idx="83">
                  <c:v>1.1682242990654205E-2</c:v>
                </c:pt>
                <c:pt idx="84">
                  <c:v>2.6970954356846474E-2</c:v>
                </c:pt>
                <c:pt idx="85">
                  <c:v>2.6315789473684209E-2</c:v>
                </c:pt>
                <c:pt idx="86">
                  <c:v>1.4634146341463415E-2</c:v>
                </c:pt>
                <c:pt idx="87">
                  <c:v>1.7374517374517374E-2</c:v>
                </c:pt>
                <c:pt idx="88">
                  <c:v>1.4084507042253521E-2</c:v>
                </c:pt>
                <c:pt idx="89">
                  <c:v>1.5909090909090907E-2</c:v>
                </c:pt>
                <c:pt idx="90">
                  <c:v>1.5765765765765764E-2</c:v>
                </c:pt>
                <c:pt idx="91">
                  <c:v>1.1312217194570135E-2</c:v>
                </c:pt>
                <c:pt idx="92">
                  <c:v>2.0920502092050207E-3</c:v>
                </c:pt>
                <c:pt idx="93">
                  <c:v>1.7429193899782137E-2</c:v>
                </c:pt>
                <c:pt idx="94">
                  <c:v>1.932367149758454E-2</c:v>
                </c:pt>
                <c:pt idx="95">
                  <c:v>9.5465393794749408E-3</c:v>
                </c:pt>
                <c:pt idx="96">
                  <c:v>1.9093078758949882E-2</c:v>
                </c:pt>
                <c:pt idx="97">
                  <c:v>1.1933174224343675E-2</c:v>
                </c:pt>
                <c:pt idx="98">
                  <c:v>7.5949367088607592E-3</c:v>
                </c:pt>
                <c:pt idx="99">
                  <c:v>1.2658227848101266E-2</c:v>
                </c:pt>
                <c:pt idx="100">
                  <c:v>1.8134715025906734E-2</c:v>
                </c:pt>
                <c:pt idx="101">
                  <c:v>7.8947368421052634E-3</c:v>
                </c:pt>
                <c:pt idx="102">
                  <c:v>1.2626262626262626E-2</c:v>
                </c:pt>
                <c:pt idx="103">
                  <c:v>1.1764705882352941E-2</c:v>
                </c:pt>
                <c:pt idx="104">
                  <c:v>1.6908212560386472E-2</c:v>
                </c:pt>
                <c:pt idx="105">
                  <c:v>1.2500000000000001E-2</c:v>
                </c:pt>
                <c:pt idx="106">
                  <c:v>1.8633540372670808E-2</c:v>
                </c:pt>
                <c:pt idx="107">
                  <c:v>6.2305295950155761E-3</c:v>
                </c:pt>
                <c:pt idx="108">
                  <c:v>6.3091482649842269E-3</c:v>
                </c:pt>
                <c:pt idx="109">
                  <c:v>8.7976539589442824E-3</c:v>
                </c:pt>
                <c:pt idx="110">
                  <c:v>5.9347181008902079E-3</c:v>
                </c:pt>
                <c:pt idx="111">
                  <c:v>1.2307692307692308E-2</c:v>
                </c:pt>
                <c:pt idx="112">
                  <c:v>3.0120481927710845E-3</c:v>
                </c:pt>
                <c:pt idx="113">
                  <c:v>5.3191489361702126E-3</c:v>
                </c:pt>
                <c:pt idx="114">
                  <c:v>3.2573289902280132E-3</c:v>
                </c:pt>
                <c:pt idx="115">
                  <c:v>8.5714285714285719E-3</c:v>
                </c:pt>
                <c:pt idx="116">
                  <c:v>1.1661807580174927E-2</c:v>
                </c:pt>
                <c:pt idx="117">
                  <c:v>0</c:v>
                </c:pt>
                <c:pt idx="118">
                  <c:v>1.7543859649122806E-2</c:v>
                </c:pt>
                <c:pt idx="119">
                  <c:v>3.9215686274509803E-3</c:v>
                </c:pt>
                <c:pt idx="120">
                  <c:v>3.8022813688212928E-3</c:v>
                </c:pt>
                <c:pt idx="121">
                  <c:v>9.0497737556561094E-3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C1-4E1D-BBED-45CE4FD31050}"/>
            </c:ext>
          </c:extLst>
        </c:ser>
        <c:ser>
          <c:idx val="7"/>
          <c:order val="7"/>
          <c:tx>
            <c:strRef>
              <c:f>'[1]tabla total (MIRAR)'!$A$59</c:f>
              <c:strCache>
                <c:ptCount val="1"/>
                <c:pt idx="0">
                  <c:v>Florida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(MIRAR)'!$B$59:$DS$59</c:f>
              <c:numCache>
                <c:formatCode>General</c:formatCode>
                <c:ptCount val="122"/>
                <c:pt idx="0">
                  <c:v>7.8042328042328038E-2</c:v>
                </c:pt>
                <c:pt idx="1">
                  <c:v>7.2649572649572655E-2</c:v>
                </c:pt>
                <c:pt idx="2">
                  <c:v>7.9295154185022032E-2</c:v>
                </c:pt>
                <c:pt idx="3">
                  <c:v>9.504373177842565E-2</c:v>
                </c:pt>
                <c:pt idx="4">
                  <c:v>7.6923076923076927E-2</c:v>
                </c:pt>
                <c:pt idx="5">
                  <c:v>5.9483726150392817E-2</c:v>
                </c:pt>
                <c:pt idx="6">
                  <c:v>8.6100168823860443E-2</c:v>
                </c:pt>
                <c:pt idx="7">
                  <c:v>0.11286681715575621</c:v>
                </c:pt>
                <c:pt idx="8">
                  <c:v>0.10222729868646488</c:v>
                </c:pt>
                <c:pt idx="9">
                  <c:v>9.6468561584840656E-2</c:v>
                </c:pt>
                <c:pt idx="10">
                  <c:v>9.0646651270207851E-2</c:v>
                </c:pt>
                <c:pt idx="11">
                  <c:v>8.6225026288117776E-2</c:v>
                </c:pt>
                <c:pt idx="12">
                  <c:v>0.10438074634937804</c:v>
                </c:pt>
                <c:pt idx="13">
                  <c:v>5.7654075546719682E-2</c:v>
                </c:pt>
                <c:pt idx="14">
                  <c:v>6.9394096323148621E-2</c:v>
                </c:pt>
                <c:pt idx="15">
                  <c:v>7.650273224043716E-2</c:v>
                </c:pt>
                <c:pt idx="16">
                  <c:v>0.11865312667022983</c:v>
                </c:pt>
                <c:pt idx="17">
                  <c:v>7.9005524861878451E-2</c:v>
                </c:pt>
                <c:pt idx="18">
                  <c:v>9.1803278688524587E-2</c:v>
                </c:pt>
                <c:pt idx="19">
                  <c:v>7.9748163693599161E-2</c:v>
                </c:pt>
                <c:pt idx="20">
                  <c:v>0.10358342665173573</c:v>
                </c:pt>
                <c:pt idx="21">
                  <c:v>0.10312671420735052</c:v>
                </c:pt>
                <c:pt idx="22">
                  <c:v>8.3822744260544577E-2</c:v>
                </c:pt>
                <c:pt idx="23">
                  <c:v>7.9956780118854667E-2</c:v>
                </c:pt>
                <c:pt idx="24">
                  <c:v>8.0064481461579795E-2</c:v>
                </c:pt>
                <c:pt idx="25">
                  <c:v>0.11704422869471413</c:v>
                </c:pt>
                <c:pt idx="26">
                  <c:v>7.5562700964630219E-2</c:v>
                </c:pt>
                <c:pt idx="27">
                  <c:v>8.4801762114537452E-2</c:v>
                </c:pt>
                <c:pt idx="28">
                  <c:v>8.3111347895578044E-2</c:v>
                </c:pt>
                <c:pt idx="29">
                  <c:v>8.2515868436237733E-2</c:v>
                </c:pt>
                <c:pt idx="30">
                  <c:v>8.5928489042675887E-2</c:v>
                </c:pt>
                <c:pt idx="31">
                  <c:v>8.3621683967704724E-2</c:v>
                </c:pt>
                <c:pt idx="32">
                  <c:v>7.5504322766570611E-2</c:v>
                </c:pt>
                <c:pt idx="33">
                  <c:v>8.7033747779751328E-2</c:v>
                </c:pt>
                <c:pt idx="34">
                  <c:v>6.8707058088694567E-2</c:v>
                </c:pt>
                <c:pt idx="35">
                  <c:v>7.5552825552825553E-2</c:v>
                </c:pt>
                <c:pt idx="36">
                  <c:v>8.2392026578073096E-2</c:v>
                </c:pt>
                <c:pt idx="37">
                  <c:v>7.2526121696373694E-2</c:v>
                </c:pt>
                <c:pt idx="38">
                  <c:v>6.9100391134289438E-2</c:v>
                </c:pt>
                <c:pt idx="39">
                  <c:v>6.3063063063063057E-2</c:v>
                </c:pt>
                <c:pt idx="40">
                  <c:v>6.6401062416998669E-2</c:v>
                </c:pt>
                <c:pt idx="41">
                  <c:v>7.039473684210526E-2</c:v>
                </c:pt>
                <c:pt idx="42">
                  <c:v>6.8597560975609762E-2</c:v>
                </c:pt>
                <c:pt idx="43">
                  <c:v>7.0391872278664738E-2</c:v>
                </c:pt>
                <c:pt idx="44">
                  <c:v>6.1700526711813392E-2</c:v>
                </c:pt>
                <c:pt idx="45">
                  <c:v>4.8399687743950037E-2</c:v>
                </c:pt>
                <c:pt idx="46">
                  <c:v>3.1956352299298517E-2</c:v>
                </c:pt>
                <c:pt idx="47">
                  <c:v>4.0803515379786569E-2</c:v>
                </c:pt>
                <c:pt idx="48">
                  <c:v>4.3161434977578475E-2</c:v>
                </c:pt>
                <c:pt idx="49">
                  <c:v>2.578167855183763E-2</c:v>
                </c:pt>
                <c:pt idx="50">
                  <c:v>5.9674502712477394E-2</c:v>
                </c:pt>
                <c:pt idx="51">
                  <c:v>4.6114432109308282E-2</c:v>
                </c:pt>
                <c:pt idx="52">
                  <c:v>4.5256744995648392E-2</c:v>
                </c:pt>
                <c:pt idx="53">
                  <c:v>4.2461005199306762E-2</c:v>
                </c:pt>
                <c:pt idx="54">
                  <c:v>4.4498381877022652E-2</c:v>
                </c:pt>
                <c:pt idx="55">
                  <c:v>4.9713630018033937E-2</c:v>
                </c:pt>
                <c:pt idx="56">
                  <c:v>6.2391200865080411E-2</c:v>
                </c:pt>
                <c:pt idx="57">
                  <c:v>7.0289878038018352E-2</c:v>
                </c:pt>
                <c:pt idx="58">
                  <c:v>5.83090567027124E-2</c:v>
                </c:pt>
                <c:pt idx="59">
                  <c:v>5.2022806398576808E-2</c:v>
                </c:pt>
                <c:pt idx="60">
                  <c:v>5.6629274995749941E-2</c:v>
                </c:pt>
                <c:pt idx="61">
                  <c:v>4.5975246907195066E-2</c:v>
                </c:pt>
                <c:pt idx="62">
                  <c:v>3.6020000328345597E-2</c:v>
                </c:pt>
                <c:pt idx="63">
                  <c:v>4.7513959497096504E-2</c:v>
                </c:pt>
                <c:pt idx="64">
                  <c:v>4.0029528708312369E-2</c:v>
                </c:pt>
                <c:pt idx="65">
                  <c:v>6.3989632646171801E-2</c:v>
                </c:pt>
                <c:pt idx="66">
                  <c:v>4.2383040172888922E-2</c:v>
                </c:pt>
                <c:pt idx="67">
                  <c:v>5.4255630538507578E-2</c:v>
                </c:pt>
                <c:pt idx="68">
                  <c:v>5.7340181808009885E-2</c:v>
                </c:pt>
                <c:pt idx="69">
                  <c:v>4.5575829459345539E-2</c:v>
                </c:pt>
                <c:pt idx="70">
                  <c:v>3.3636363636363638E-2</c:v>
                </c:pt>
                <c:pt idx="71">
                  <c:v>4.2857142857142858E-2</c:v>
                </c:pt>
                <c:pt idx="72">
                  <c:v>3.5238095238095235E-2</c:v>
                </c:pt>
                <c:pt idx="73">
                  <c:v>3.884297520661157E-2</c:v>
                </c:pt>
                <c:pt idx="74">
                  <c:v>3.5937499999999997E-2</c:v>
                </c:pt>
                <c:pt idx="75">
                  <c:v>2.2222222222222223E-2</c:v>
                </c:pt>
                <c:pt idx="76">
                  <c:v>4.4776119402985072E-2</c:v>
                </c:pt>
                <c:pt idx="77">
                  <c:v>3.0493273542600896E-2</c:v>
                </c:pt>
                <c:pt idx="78">
                  <c:v>4.0457343887423045E-2</c:v>
                </c:pt>
                <c:pt idx="79">
                  <c:v>4.218600191754554E-2</c:v>
                </c:pt>
                <c:pt idx="80">
                  <c:v>3.7900874635568516E-2</c:v>
                </c:pt>
                <c:pt idx="81">
                  <c:v>3.1976744186046513E-2</c:v>
                </c:pt>
                <c:pt idx="82">
                  <c:v>3.1115879828326181E-2</c:v>
                </c:pt>
                <c:pt idx="83">
                  <c:v>2.5193798449612403E-2</c:v>
                </c:pt>
                <c:pt idx="84">
                  <c:v>2.5466893039049237E-2</c:v>
                </c:pt>
                <c:pt idx="85">
                  <c:v>3.1695721077654518E-2</c:v>
                </c:pt>
                <c:pt idx="86">
                  <c:v>2.5598678777869529E-2</c:v>
                </c:pt>
                <c:pt idx="87">
                  <c:v>2.3333333333333334E-2</c:v>
                </c:pt>
                <c:pt idx="88">
                  <c:v>2.5595763459841131E-2</c:v>
                </c:pt>
                <c:pt idx="89">
                  <c:v>1.981132075471698E-2</c:v>
                </c:pt>
                <c:pt idx="90">
                  <c:v>1.1818181818181818E-2</c:v>
                </c:pt>
                <c:pt idx="91">
                  <c:v>1.3526570048309179E-2</c:v>
                </c:pt>
                <c:pt idx="92">
                  <c:v>1.7383348581884721E-2</c:v>
                </c:pt>
                <c:pt idx="93">
                  <c:v>1.7241379310344827E-2</c:v>
                </c:pt>
                <c:pt idx="94">
                  <c:v>1.5715467328370553E-2</c:v>
                </c:pt>
                <c:pt idx="95">
                  <c:v>9.8199672667757774E-3</c:v>
                </c:pt>
                <c:pt idx="96">
                  <c:v>2.1276595744680851E-2</c:v>
                </c:pt>
                <c:pt idx="97">
                  <c:v>1.466544454628781E-2</c:v>
                </c:pt>
                <c:pt idx="98">
                  <c:v>9.8328416912487702E-3</c:v>
                </c:pt>
                <c:pt idx="99">
                  <c:v>7.7369439071566732E-3</c:v>
                </c:pt>
                <c:pt idx="100">
                  <c:v>1.5779092702169626E-2</c:v>
                </c:pt>
                <c:pt idx="101">
                  <c:v>1.452081316553727E-2</c:v>
                </c:pt>
                <c:pt idx="102">
                  <c:v>1.1201629327902239E-2</c:v>
                </c:pt>
                <c:pt idx="103">
                  <c:v>8.8669950738916262E-3</c:v>
                </c:pt>
                <c:pt idx="104">
                  <c:v>9.99000999000999E-3</c:v>
                </c:pt>
                <c:pt idx="105">
                  <c:v>5.2966101694915252E-3</c:v>
                </c:pt>
                <c:pt idx="106">
                  <c:v>1.4823261117445839E-2</c:v>
                </c:pt>
                <c:pt idx="107">
                  <c:v>1.2775842044134728E-2</c:v>
                </c:pt>
                <c:pt idx="108">
                  <c:v>9.5238095238095247E-3</c:v>
                </c:pt>
                <c:pt idx="109">
                  <c:v>7.743362831858407E-3</c:v>
                </c:pt>
                <c:pt idx="110">
                  <c:v>7.8475336322869956E-3</c:v>
                </c:pt>
                <c:pt idx="111">
                  <c:v>1.1520737327188941E-2</c:v>
                </c:pt>
                <c:pt idx="112">
                  <c:v>4.5662100456621002E-3</c:v>
                </c:pt>
                <c:pt idx="113">
                  <c:v>3.4522439585730723E-3</c:v>
                </c:pt>
                <c:pt idx="114">
                  <c:v>8.1018518518518514E-3</c:v>
                </c:pt>
                <c:pt idx="115">
                  <c:v>1.0791366906474821E-2</c:v>
                </c:pt>
                <c:pt idx="116">
                  <c:v>2.4390243902439024E-3</c:v>
                </c:pt>
                <c:pt idx="117">
                  <c:v>1.3947001394700139E-2</c:v>
                </c:pt>
                <c:pt idx="118">
                  <c:v>4.076086956521739E-3</c:v>
                </c:pt>
                <c:pt idx="119">
                  <c:v>4.3731778425655978E-3</c:v>
                </c:pt>
                <c:pt idx="120">
                  <c:v>2.967359050445104E-3</c:v>
                </c:pt>
                <c:pt idx="121">
                  <c:v>1.098901098901099E-2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C1-4E1D-BBED-45CE4FD31050}"/>
            </c:ext>
          </c:extLst>
        </c:ser>
        <c:ser>
          <c:idx val="8"/>
          <c:order val="8"/>
          <c:tx>
            <c:strRef>
              <c:f>'[1]tabla total (MIRAR)'!$A$60</c:f>
              <c:strCache>
                <c:ptCount val="1"/>
                <c:pt idx="0">
                  <c:v>Lavalleja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(MIRAR)'!$B$60:$DS$60</c:f>
              <c:numCache>
                <c:formatCode>General</c:formatCode>
                <c:ptCount val="122"/>
                <c:pt idx="0">
                  <c:v>9.947643979057591E-2</c:v>
                </c:pt>
                <c:pt idx="1">
                  <c:v>8.3544303797468356E-2</c:v>
                </c:pt>
                <c:pt idx="2">
                  <c:v>9.2377260981912152E-2</c:v>
                </c:pt>
                <c:pt idx="3">
                  <c:v>9.0095465393794746E-2</c:v>
                </c:pt>
                <c:pt idx="4">
                  <c:v>0.08</c:v>
                </c:pt>
                <c:pt idx="5">
                  <c:v>7.0041200706297824E-2</c:v>
                </c:pt>
                <c:pt idx="6">
                  <c:v>9.5016030311862426E-2</c:v>
                </c:pt>
                <c:pt idx="7">
                  <c:v>0.1195150115473441</c:v>
                </c:pt>
                <c:pt idx="8">
                  <c:v>9.7600872410032721E-2</c:v>
                </c:pt>
                <c:pt idx="9">
                  <c:v>9.6153846153846159E-2</c:v>
                </c:pt>
                <c:pt idx="10">
                  <c:v>9.4684385382059796E-2</c:v>
                </c:pt>
                <c:pt idx="11">
                  <c:v>8.7113402061855666E-2</c:v>
                </c:pt>
                <c:pt idx="12">
                  <c:v>8.4803921568627455E-2</c:v>
                </c:pt>
                <c:pt idx="13">
                  <c:v>6.2561094819159335E-2</c:v>
                </c:pt>
                <c:pt idx="14">
                  <c:v>6.9532908704883226E-2</c:v>
                </c:pt>
                <c:pt idx="15">
                  <c:v>8.5198555956678704E-2</c:v>
                </c:pt>
                <c:pt idx="16">
                  <c:v>9.7322348094747685E-2</c:v>
                </c:pt>
                <c:pt idx="17">
                  <c:v>8.4356647090229581E-2</c:v>
                </c:pt>
                <c:pt idx="18">
                  <c:v>8.6026852312282451E-2</c:v>
                </c:pt>
                <c:pt idx="19">
                  <c:v>9.0398365679264556E-2</c:v>
                </c:pt>
                <c:pt idx="20">
                  <c:v>0.10181451612903226</c:v>
                </c:pt>
                <c:pt idx="21">
                  <c:v>0.1015744032503809</c:v>
                </c:pt>
                <c:pt idx="22">
                  <c:v>6.2045564711585073E-2</c:v>
                </c:pt>
                <c:pt idx="23">
                  <c:v>8.4812623274161739E-2</c:v>
                </c:pt>
                <c:pt idx="24">
                  <c:v>7.9650315687226803E-2</c:v>
                </c:pt>
                <c:pt idx="25">
                  <c:v>0.11060142711518858</c:v>
                </c:pt>
                <c:pt idx="26">
                  <c:v>6.1143984220907298E-2</c:v>
                </c:pt>
                <c:pt idx="27">
                  <c:v>9.4349142280524725E-2</c:v>
                </c:pt>
                <c:pt idx="28">
                  <c:v>0.1007125890736342</c:v>
                </c:pt>
                <c:pt idx="29">
                  <c:v>7.7685088633993746E-2</c:v>
                </c:pt>
                <c:pt idx="30">
                  <c:v>7.5711382113821141E-2</c:v>
                </c:pt>
                <c:pt idx="31">
                  <c:v>8.2694414019715223E-2</c:v>
                </c:pt>
                <c:pt idx="32">
                  <c:v>9.1533180778032033E-2</c:v>
                </c:pt>
                <c:pt idx="33">
                  <c:v>7.9225352112676062E-2</c:v>
                </c:pt>
                <c:pt idx="34">
                  <c:v>9.6984033116499113E-2</c:v>
                </c:pt>
                <c:pt idx="35">
                  <c:v>8.4900284900284895E-2</c:v>
                </c:pt>
                <c:pt idx="36">
                  <c:v>8.3384805435453985E-2</c:v>
                </c:pt>
                <c:pt idx="37">
                  <c:v>9.2457420924574207E-2</c:v>
                </c:pt>
                <c:pt idx="38">
                  <c:v>7.477820025348543E-2</c:v>
                </c:pt>
                <c:pt idx="39">
                  <c:v>6.6157760814249358E-2</c:v>
                </c:pt>
                <c:pt idx="40">
                  <c:v>7.5218267293485561E-2</c:v>
                </c:pt>
                <c:pt idx="41">
                  <c:v>7.2590738423028781E-2</c:v>
                </c:pt>
                <c:pt idx="42">
                  <c:v>7.6923076923076927E-2</c:v>
                </c:pt>
                <c:pt idx="43">
                  <c:v>8.3953960731211918E-2</c:v>
                </c:pt>
                <c:pt idx="44">
                  <c:v>4.5484949832775921E-2</c:v>
                </c:pt>
                <c:pt idx="45">
                  <c:v>3.9227166276346606E-2</c:v>
                </c:pt>
                <c:pt idx="46">
                  <c:v>3.7662337662337661E-2</c:v>
                </c:pt>
                <c:pt idx="47">
                  <c:v>4.3506078055022393E-2</c:v>
                </c:pt>
                <c:pt idx="48">
                  <c:v>4.5207956600361664E-2</c:v>
                </c:pt>
                <c:pt idx="49">
                  <c:v>2.7475130270014213E-2</c:v>
                </c:pt>
                <c:pt idx="50">
                  <c:v>5.0969131371141424E-2</c:v>
                </c:pt>
                <c:pt idx="51">
                  <c:v>5.0522648083623695E-2</c:v>
                </c:pt>
                <c:pt idx="52">
                  <c:v>5.2951388888888888E-2</c:v>
                </c:pt>
                <c:pt idx="53">
                  <c:v>4.4982698961937718E-2</c:v>
                </c:pt>
                <c:pt idx="54">
                  <c:v>4.8060708263069137E-2</c:v>
                </c:pt>
                <c:pt idx="55">
                  <c:v>5.9698730709533562E-2</c:v>
                </c:pt>
                <c:pt idx="56">
                  <c:v>4.0247547706109187E-2</c:v>
                </c:pt>
                <c:pt idx="57">
                  <c:v>5.2678108643929307E-2</c:v>
                </c:pt>
                <c:pt idx="58">
                  <c:v>3.6688819526135959E-2</c:v>
                </c:pt>
                <c:pt idx="59">
                  <c:v>5.7374853604464794E-2</c:v>
                </c:pt>
                <c:pt idx="60">
                  <c:v>4.2289652209479403E-2</c:v>
                </c:pt>
                <c:pt idx="61">
                  <c:v>4.1345226885356266E-2</c:v>
                </c:pt>
                <c:pt idx="62">
                  <c:v>4.7827183506142526E-2</c:v>
                </c:pt>
                <c:pt idx="63">
                  <c:v>5.9206685217153159E-2</c:v>
                </c:pt>
                <c:pt idx="64">
                  <c:v>6.6422421966260539E-2</c:v>
                </c:pt>
                <c:pt idx="65">
                  <c:v>6.0513579886776699E-2</c:v>
                </c:pt>
                <c:pt idx="66">
                  <c:v>5.0559672642750596E-2</c:v>
                </c:pt>
                <c:pt idx="67">
                  <c:v>4.7166320220968942E-2</c:v>
                </c:pt>
                <c:pt idx="68">
                  <c:v>4.9468105048215971E-2</c:v>
                </c:pt>
                <c:pt idx="69">
                  <c:v>4.6095839923414206E-2</c:v>
                </c:pt>
                <c:pt idx="70">
                  <c:v>4.2741935483870966E-2</c:v>
                </c:pt>
                <c:pt idx="71">
                  <c:v>4.3200000000000002E-2</c:v>
                </c:pt>
                <c:pt idx="72">
                  <c:v>3.6134453781512609E-2</c:v>
                </c:pt>
                <c:pt idx="73">
                  <c:v>3.0578512396694214E-2</c:v>
                </c:pt>
                <c:pt idx="74">
                  <c:v>4.5192307692307691E-2</c:v>
                </c:pt>
                <c:pt idx="75">
                  <c:v>3.9830508474576268E-2</c:v>
                </c:pt>
                <c:pt idx="76">
                  <c:v>3.7704918032786888E-2</c:v>
                </c:pt>
                <c:pt idx="77">
                  <c:v>3.87736699729486E-2</c:v>
                </c:pt>
                <c:pt idx="78">
                  <c:v>3.7137681159420288E-2</c:v>
                </c:pt>
                <c:pt idx="79">
                  <c:v>2.2637795275590553E-2</c:v>
                </c:pt>
                <c:pt idx="80">
                  <c:v>2.3307436182019976E-2</c:v>
                </c:pt>
                <c:pt idx="81">
                  <c:v>3.9112050739957716E-2</c:v>
                </c:pt>
                <c:pt idx="82">
                  <c:v>3.4334763948497854E-2</c:v>
                </c:pt>
                <c:pt idx="83">
                  <c:v>2.4390243902439025E-2</c:v>
                </c:pt>
                <c:pt idx="84">
                  <c:v>2.88659793814433E-2</c:v>
                </c:pt>
                <c:pt idx="85">
                  <c:v>3.3081285444234401E-2</c:v>
                </c:pt>
                <c:pt idx="86">
                  <c:v>3.6644165863066541E-2</c:v>
                </c:pt>
                <c:pt idx="87">
                  <c:v>2.3809523809523808E-2</c:v>
                </c:pt>
                <c:pt idx="88">
                  <c:v>1.8339768339768341E-2</c:v>
                </c:pt>
                <c:pt idx="89">
                  <c:v>1.6314779270633396E-2</c:v>
                </c:pt>
                <c:pt idx="90">
                  <c:v>2.0054694621695533E-2</c:v>
                </c:pt>
                <c:pt idx="91">
                  <c:v>1.4177693761814745E-2</c:v>
                </c:pt>
                <c:pt idx="92">
                  <c:v>1.6146393972012917E-2</c:v>
                </c:pt>
                <c:pt idx="93">
                  <c:v>1.2727272727272728E-2</c:v>
                </c:pt>
                <c:pt idx="94">
                  <c:v>2.1428571428571429E-2</c:v>
                </c:pt>
                <c:pt idx="95">
                  <c:v>2.3517382413087935E-2</c:v>
                </c:pt>
                <c:pt idx="96">
                  <c:v>1.7382413087934562E-2</c:v>
                </c:pt>
                <c:pt idx="97">
                  <c:v>1.3901760889712697E-2</c:v>
                </c:pt>
                <c:pt idx="98">
                  <c:v>1.4760147601476014E-2</c:v>
                </c:pt>
                <c:pt idx="99">
                  <c:v>8.1383519837232958E-3</c:v>
                </c:pt>
                <c:pt idx="100">
                  <c:v>8.658008658008658E-3</c:v>
                </c:pt>
                <c:pt idx="101">
                  <c:v>1.2035010940919038E-2</c:v>
                </c:pt>
                <c:pt idx="102">
                  <c:v>1.5945330296127564E-2</c:v>
                </c:pt>
                <c:pt idx="103">
                  <c:v>2.1028037383177569E-2</c:v>
                </c:pt>
                <c:pt idx="104">
                  <c:v>1.0123734533183352E-2</c:v>
                </c:pt>
                <c:pt idx="105">
                  <c:v>1.3613861386138614E-2</c:v>
                </c:pt>
                <c:pt idx="106">
                  <c:v>1.1124845488257108E-2</c:v>
                </c:pt>
                <c:pt idx="107">
                  <c:v>8.7939698492462311E-3</c:v>
                </c:pt>
                <c:pt idx="108">
                  <c:v>6.5616797900262466E-3</c:v>
                </c:pt>
                <c:pt idx="109">
                  <c:v>1.1004126547455296E-2</c:v>
                </c:pt>
                <c:pt idx="110">
                  <c:v>5.8139534883720929E-3</c:v>
                </c:pt>
                <c:pt idx="111">
                  <c:v>5.5172413793103444E-3</c:v>
                </c:pt>
                <c:pt idx="112">
                  <c:v>1.8018018018018018E-2</c:v>
                </c:pt>
                <c:pt idx="113">
                  <c:v>1.4945652173913044E-2</c:v>
                </c:pt>
                <c:pt idx="114">
                  <c:v>8.1855388813096858E-3</c:v>
                </c:pt>
                <c:pt idx="115">
                  <c:v>6.3451776649746192E-3</c:v>
                </c:pt>
                <c:pt idx="116">
                  <c:v>1.6736401673640166E-2</c:v>
                </c:pt>
                <c:pt idx="117">
                  <c:v>3.0534351145038168E-3</c:v>
                </c:pt>
                <c:pt idx="118">
                  <c:v>8.1433224755700327E-3</c:v>
                </c:pt>
                <c:pt idx="119">
                  <c:v>1.7482517482517483E-3</c:v>
                </c:pt>
                <c:pt idx="120">
                  <c:v>3.9447731755424065E-3</c:v>
                </c:pt>
                <c:pt idx="121">
                  <c:v>1.348747591522158E-2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C1-4E1D-BBED-45CE4FD31050}"/>
            </c:ext>
          </c:extLst>
        </c:ser>
        <c:ser>
          <c:idx val="9"/>
          <c:order val="9"/>
          <c:tx>
            <c:strRef>
              <c:f>'[1]tabla total (MIRAR)'!$A$61</c:f>
              <c:strCache>
                <c:ptCount val="1"/>
                <c:pt idx="0">
                  <c:v>Maldonado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(MIRAR)'!$B$61:$DS$61</c:f>
              <c:numCache>
                <c:formatCode>General</c:formatCode>
                <c:ptCount val="122"/>
                <c:pt idx="0">
                  <c:v>0.10484780157835401</c:v>
                </c:pt>
                <c:pt idx="1">
                  <c:v>7.9347826086956522E-2</c:v>
                </c:pt>
                <c:pt idx="2">
                  <c:v>5.0632911392405063E-2</c:v>
                </c:pt>
                <c:pt idx="3">
                  <c:v>0.10075839653304441</c:v>
                </c:pt>
                <c:pt idx="4">
                  <c:v>9.1538052155401811E-2</c:v>
                </c:pt>
                <c:pt idx="5">
                  <c:v>8.263598326359832E-2</c:v>
                </c:pt>
                <c:pt idx="6">
                  <c:v>8.8922764227642281E-2</c:v>
                </c:pt>
                <c:pt idx="7">
                  <c:v>9.4861660079051377E-2</c:v>
                </c:pt>
                <c:pt idx="8">
                  <c:v>9.6172718351324835E-2</c:v>
                </c:pt>
                <c:pt idx="9">
                  <c:v>8.7643678160919544E-2</c:v>
                </c:pt>
                <c:pt idx="10">
                  <c:v>7.9513564078578111E-2</c:v>
                </c:pt>
                <c:pt idx="11">
                  <c:v>9.8991750687442717E-2</c:v>
                </c:pt>
                <c:pt idx="12">
                  <c:v>0.10714285714285714</c:v>
                </c:pt>
                <c:pt idx="13">
                  <c:v>7.1047957371225573E-2</c:v>
                </c:pt>
                <c:pt idx="14">
                  <c:v>8.5106382978723402E-2</c:v>
                </c:pt>
                <c:pt idx="15">
                  <c:v>7.1818181818181823E-2</c:v>
                </c:pt>
                <c:pt idx="16">
                  <c:v>0.10607521697203472</c:v>
                </c:pt>
                <c:pt idx="17">
                  <c:v>9.0410958904109592E-2</c:v>
                </c:pt>
                <c:pt idx="18">
                  <c:v>7.4823943661971828E-2</c:v>
                </c:pt>
                <c:pt idx="19">
                  <c:v>9.4138543516873896E-2</c:v>
                </c:pt>
                <c:pt idx="20">
                  <c:v>0.10820559062218214</c:v>
                </c:pt>
                <c:pt idx="21">
                  <c:v>8.1996434937611412E-2</c:v>
                </c:pt>
                <c:pt idx="22">
                  <c:v>6.6151202749140894E-2</c:v>
                </c:pt>
                <c:pt idx="23">
                  <c:v>7.9734219269102985E-2</c:v>
                </c:pt>
                <c:pt idx="24">
                  <c:v>9.8984771573604066E-2</c:v>
                </c:pt>
                <c:pt idx="25">
                  <c:v>0.11320754716981132</c:v>
                </c:pt>
                <c:pt idx="26">
                  <c:v>8.1166272655634364E-2</c:v>
                </c:pt>
                <c:pt idx="27">
                  <c:v>0.11263073209975864</c:v>
                </c:pt>
                <c:pt idx="28">
                  <c:v>9.8234842670759784E-2</c:v>
                </c:pt>
                <c:pt idx="29">
                  <c:v>8.1679389312977094E-2</c:v>
                </c:pt>
                <c:pt idx="30">
                  <c:v>7.6014760147601473E-2</c:v>
                </c:pt>
                <c:pt idx="31">
                  <c:v>0.1111111111111111</c:v>
                </c:pt>
                <c:pt idx="32">
                  <c:v>8.2980524978831502E-2</c:v>
                </c:pt>
                <c:pt idx="33">
                  <c:v>9.1584158415841582E-2</c:v>
                </c:pt>
                <c:pt idx="34">
                  <c:v>8.1952920662598086E-2</c:v>
                </c:pt>
                <c:pt idx="35">
                  <c:v>7.0205479452054798E-2</c:v>
                </c:pt>
                <c:pt idx="36">
                  <c:v>9.0990990990990991E-2</c:v>
                </c:pt>
                <c:pt idx="37">
                  <c:v>6.6911090742438131E-2</c:v>
                </c:pt>
                <c:pt idx="38">
                  <c:v>7.6997112608277185E-2</c:v>
                </c:pt>
                <c:pt idx="39">
                  <c:v>8.2604470359572399E-2</c:v>
                </c:pt>
                <c:pt idx="40">
                  <c:v>7.4038461538461539E-2</c:v>
                </c:pt>
                <c:pt idx="41">
                  <c:v>8.0428954423592491E-2</c:v>
                </c:pt>
                <c:pt idx="42">
                  <c:v>8.9866156787762913E-2</c:v>
                </c:pt>
                <c:pt idx="43">
                  <c:v>5.6530214424951264E-2</c:v>
                </c:pt>
                <c:pt idx="44">
                  <c:v>4.4204322200392929E-2</c:v>
                </c:pt>
                <c:pt idx="45">
                  <c:v>4.5666356011183594E-2</c:v>
                </c:pt>
                <c:pt idx="46">
                  <c:v>5.2427184466019419E-2</c:v>
                </c:pt>
                <c:pt idx="47">
                  <c:v>4.0094339622641507E-2</c:v>
                </c:pt>
                <c:pt idx="48">
                  <c:v>4.1728763040238454E-2</c:v>
                </c:pt>
                <c:pt idx="49">
                  <c:v>3.415409054805401E-2</c:v>
                </c:pt>
                <c:pt idx="50">
                  <c:v>4.8096192384769539E-2</c:v>
                </c:pt>
                <c:pt idx="51">
                  <c:v>4.4032444959443799E-2</c:v>
                </c:pt>
                <c:pt idx="52">
                  <c:v>4.8635824436536183E-2</c:v>
                </c:pt>
                <c:pt idx="53">
                  <c:v>4.9539170506912443E-2</c:v>
                </c:pt>
                <c:pt idx="54">
                  <c:v>4.6893317702227433E-2</c:v>
                </c:pt>
                <c:pt idx="55">
                  <c:v>3.6703812356767999E-2</c:v>
                </c:pt>
                <c:pt idx="56">
                  <c:v>4.1521511101795978E-2</c:v>
                </c:pt>
                <c:pt idx="57">
                  <c:v>6.2583019182547717E-2</c:v>
                </c:pt>
                <c:pt idx="58">
                  <c:v>4.726553309343675E-2</c:v>
                </c:pt>
                <c:pt idx="59">
                  <c:v>7.0416902199810033E-2</c:v>
                </c:pt>
                <c:pt idx="60">
                  <c:v>4.1131290235428442E-2</c:v>
                </c:pt>
                <c:pt idx="61">
                  <c:v>5.231496198704623E-2</c:v>
                </c:pt>
                <c:pt idx="62">
                  <c:v>5.6105786522355101E-2</c:v>
                </c:pt>
                <c:pt idx="63">
                  <c:v>6.452348716674644E-2</c:v>
                </c:pt>
                <c:pt idx="64">
                  <c:v>3.9573325501214368E-2</c:v>
                </c:pt>
                <c:pt idx="65">
                  <c:v>5.7155124508140559E-2</c:v>
                </c:pt>
                <c:pt idx="66">
                  <c:v>4.6900455227459809E-2</c:v>
                </c:pt>
                <c:pt idx="67">
                  <c:v>4.1474561325640549E-2</c:v>
                </c:pt>
                <c:pt idx="68">
                  <c:v>5.4391961596330501E-2</c:v>
                </c:pt>
                <c:pt idx="69">
                  <c:v>5.1526926219905587E-2</c:v>
                </c:pt>
                <c:pt idx="70">
                  <c:v>4.8760330578512395E-2</c:v>
                </c:pt>
                <c:pt idx="71">
                  <c:v>3.888888888888889E-2</c:v>
                </c:pt>
                <c:pt idx="72">
                  <c:v>4.06015037593985E-2</c:v>
                </c:pt>
                <c:pt idx="73">
                  <c:v>3.8095238095238099E-2</c:v>
                </c:pt>
                <c:pt idx="74">
                  <c:v>2.7397260273972601E-2</c:v>
                </c:pt>
                <c:pt idx="75">
                  <c:v>4.4827586206896551E-2</c:v>
                </c:pt>
                <c:pt idx="76">
                  <c:v>3.6305732484076432E-2</c:v>
                </c:pt>
                <c:pt idx="77">
                  <c:v>3.9405684754521962E-2</c:v>
                </c:pt>
                <c:pt idx="78">
                  <c:v>3.5087719298245612E-2</c:v>
                </c:pt>
                <c:pt idx="79">
                  <c:v>2.3767082590612002E-2</c:v>
                </c:pt>
                <c:pt idx="80">
                  <c:v>3.4813925570228089E-2</c:v>
                </c:pt>
                <c:pt idx="81">
                  <c:v>2.9152915291529153E-2</c:v>
                </c:pt>
                <c:pt idx="82">
                  <c:v>2.2783251231527094E-2</c:v>
                </c:pt>
                <c:pt idx="83">
                  <c:v>3.1685678073510776E-2</c:v>
                </c:pt>
                <c:pt idx="84">
                  <c:v>2.5830258302583026E-2</c:v>
                </c:pt>
                <c:pt idx="85">
                  <c:v>3.272727272727273E-2</c:v>
                </c:pt>
                <c:pt idx="86">
                  <c:v>2.485549132947977E-2</c:v>
                </c:pt>
                <c:pt idx="87">
                  <c:v>2.1337946943483274E-2</c:v>
                </c:pt>
                <c:pt idx="88">
                  <c:v>1.7299107142857144E-2</c:v>
                </c:pt>
                <c:pt idx="89">
                  <c:v>1.579520697167756E-2</c:v>
                </c:pt>
                <c:pt idx="90">
                  <c:v>1.829924650161464E-2</c:v>
                </c:pt>
                <c:pt idx="91">
                  <c:v>2.0439448134900357E-2</c:v>
                </c:pt>
                <c:pt idx="92">
                  <c:v>1.942690626517727E-2</c:v>
                </c:pt>
                <c:pt idx="93">
                  <c:v>1.566696508504924E-2</c:v>
                </c:pt>
                <c:pt idx="94">
                  <c:v>1.8867924528301886E-2</c:v>
                </c:pt>
                <c:pt idx="95">
                  <c:v>1.6427969671440605E-2</c:v>
                </c:pt>
                <c:pt idx="96">
                  <c:v>1.5585509688289806E-2</c:v>
                </c:pt>
                <c:pt idx="97">
                  <c:v>1.3124470787468248E-2</c:v>
                </c:pt>
                <c:pt idx="98">
                  <c:v>1.2746710526315789E-2</c:v>
                </c:pt>
                <c:pt idx="99">
                  <c:v>1.5944399018806215E-2</c:v>
                </c:pt>
                <c:pt idx="100">
                  <c:v>1.7820980153908466E-2</c:v>
                </c:pt>
                <c:pt idx="101">
                  <c:v>1.3738551207327226E-2</c:v>
                </c:pt>
                <c:pt idx="102">
                  <c:v>1.4675052410901468E-2</c:v>
                </c:pt>
                <c:pt idx="103">
                  <c:v>1.2809187279151944E-2</c:v>
                </c:pt>
                <c:pt idx="104">
                  <c:v>1.5002143163309044E-2</c:v>
                </c:pt>
                <c:pt idx="105">
                  <c:v>1.3924050632911392E-2</c:v>
                </c:pt>
                <c:pt idx="106">
                  <c:v>1.0008340283569641E-2</c:v>
                </c:pt>
                <c:pt idx="107">
                  <c:v>9.3155123531794247E-3</c:v>
                </c:pt>
                <c:pt idx="108">
                  <c:v>9.1248444628784734E-3</c:v>
                </c:pt>
                <c:pt idx="109">
                  <c:v>8.8960776384957533E-3</c:v>
                </c:pt>
                <c:pt idx="110">
                  <c:v>4.1999160016799666E-3</c:v>
                </c:pt>
                <c:pt idx="111">
                  <c:v>6.7396798652064023E-3</c:v>
                </c:pt>
                <c:pt idx="112">
                  <c:v>1.0356731875719217E-2</c:v>
                </c:pt>
                <c:pt idx="113">
                  <c:v>6.5813528336380253E-3</c:v>
                </c:pt>
                <c:pt idx="114">
                  <c:v>7.2519083969465646E-3</c:v>
                </c:pt>
                <c:pt idx="115">
                  <c:v>6.216006216006216E-3</c:v>
                </c:pt>
                <c:pt idx="116">
                  <c:v>7.5156576200417534E-3</c:v>
                </c:pt>
                <c:pt idx="117">
                  <c:v>5.9523809523809521E-3</c:v>
                </c:pt>
                <c:pt idx="118">
                  <c:v>5.893909626719057E-3</c:v>
                </c:pt>
                <c:pt idx="119">
                  <c:v>4.5431600201918223E-3</c:v>
                </c:pt>
                <c:pt idx="120">
                  <c:v>8.6206896551724137E-3</c:v>
                </c:pt>
                <c:pt idx="121">
                  <c:v>2.7533039647577094E-3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3C1-4E1D-BBED-45CE4FD31050}"/>
            </c:ext>
          </c:extLst>
        </c:ser>
        <c:ser>
          <c:idx val="10"/>
          <c:order val="10"/>
          <c:tx>
            <c:strRef>
              <c:f>'[1]tabla total (MIRAR)'!$A$62</c:f>
              <c:strCache>
                <c:ptCount val="1"/>
                <c:pt idx="0">
                  <c:v>Paysandu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(MIRAR)'!$B$62:$DS$62</c:f>
              <c:numCache>
                <c:formatCode>General</c:formatCode>
                <c:ptCount val="122"/>
                <c:pt idx="0">
                  <c:v>0.1008668242710796</c:v>
                </c:pt>
                <c:pt idx="1">
                  <c:v>0.11186696900982615</c:v>
                </c:pt>
                <c:pt idx="2">
                  <c:v>0.1164972634870993</c:v>
                </c:pt>
                <c:pt idx="3">
                  <c:v>0.1005251312828207</c:v>
                </c:pt>
                <c:pt idx="4">
                  <c:v>8.7593984962406016E-2</c:v>
                </c:pt>
                <c:pt idx="5">
                  <c:v>7.4604370761115299E-2</c:v>
                </c:pt>
                <c:pt idx="6">
                  <c:v>9.2248062015503882E-2</c:v>
                </c:pt>
                <c:pt idx="7">
                  <c:v>0.11093375897845172</c:v>
                </c:pt>
                <c:pt idx="8">
                  <c:v>0.12201963534361851</c:v>
                </c:pt>
                <c:pt idx="9">
                  <c:v>0.11304656949875577</c:v>
                </c:pt>
                <c:pt idx="10">
                  <c:v>0.10382119682768565</c:v>
                </c:pt>
                <c:pt idx="11">
                  <c:v>0.13626373626373625</c:v>
                </c:pt>
                <c:pt idx="12">
                  <c:v>0.11012311901504789</c:v>
                </c:pt>
                <c:pt idx="13">
                  <c:v>9.6354166666666671E-2</c:v>
                </c:pt>
                <c:pt idx="14">
                  <c:v>8.9285714285714288E-2</c:v>
                </c:pt>
                <c:pt idx="15">
                  <c:v>0.10732984293193717</c:v>
                </c:pt>
                <c:pt idx="16">
                  <c:v>0.16628527841342486</c:v>
                </c:pt>
                <c:pt idx="17">
                  <c:v>0.13515509601181683</c:v>
                </c:pt>
                <c:pt idx="18">
                  <c:v>0.11373390557939914</c:v>
                </c:pt>
                <c:pt idx="19">
                  <c:v>9.5032397408207347E-2</c:v>
                </c:pt>
                <c:pt idx="20">
                  <c:v>0.11655172413793104</c:v>
                </c:pt>
                <c:pt idx="21">
                  <c:v>0.13461538461538461</c:v>
                </c:pt>
                <c:pt idx="22">
                  <c:v>8.1529581529581535E-2</c:v>
                </c:pt>
                <c:pt idx="23">
                  <c:v>8.9349535382416009E-2</c:v>
                </c:pt>
                <c:pt idx="24">
                  <c:v>0.10902777777777778</c:v>
                </c:pt>
                <c:pt idx="25">
                  <c:v>9.6416938110749181E-2</c:v>
                </c:pt>
                <c:pt idx="26">
                  <c:v>9.7592713077423551E-2</c:v>
                </c:pt>
                <c:pt idx="27">
                  <c:v>7.1086807928913198E-2</c:v>
                </c:pt>
                <c:pt idx="28">
                  <c:v>8.9902280130293166E-2</c:v>
                </c:pt>
                <c:pt idx="29">
                  <c:v>7.1041948579161032E-2</c:v>
                </c:pt>
                <c:pt idx="30">
                  <c:v>7.8680203045685279E-2</c:v>
                </c:pt>
                <c:pt idx="31">
                  <c:v>9.6224116930572479E-2</c:v>
                </c:pt>
                <c:pt idx="32">
                  <c:v>9.2152199762187872E-2</c:v>
                </c:pt>
                <c:pt idx="33">
                  <c:v>7.7538461538461542E-2</c:v>
                </c:pt>
                <c:pt idx="34">
                  <c:v>8.0141426045963471E-2</c:v>
                </c:pt>
                <c:pt idx="35">
                  <c:v>0.10379596678529063</c:v>
                </c:pt>
                <c:pt idx="36">
                  <c:v>6.4910025706940877E-2</c:v>
                </c:pt>
                <c:pt idx="37">
                  <c:v>7.8750000000000001E-2</c:v>
                </c:pt>
                <c:pt idx="38">
                  <c:v>9.2557848655409627E-2</c:v>
                </c:pt>
                <c:pt idx="39">
                  <c:v>7.2252580449301759E-2</c:v>
                </c:pt>
                <c:pt idx="40">
                  <c:v>6.9515669515669509E-2</c:v>
                </c:pt>
                <c:pt idx="41">
                  <c:v>9.1917591125198095E-2</c:v>
                </c:pt>
                <c:pt idx="42">
                  <c:v>7.8066914498141265E-2</c:v>
                </c:pt>
                <c:pt idx="43">
                  <c:v>7.4138937536485691E-2</c:v>
                </c:pt>
                <c:pt idx="44">
                  <c:v>5.2169421487603305E-2</c:v>
                </c:pt>
                <c:pt idx="45">
                  <c:v>4.9431537320810674E-2</c:v>
                </c:pt>
                <c:pt idx="46">
                  <c:v>6.4569536423841056E-2</c:v>
                </c:pt>
                <c:pt idx="47">
                  <c:v>6.4467766116941536E-2</c:v>
                </c:pt>
                <c:pt idx="48">
                  <c:v>4.5708955223880597E-2</c:v>
                </c:pt>
                <c:pt idx="49">
                  <c:v>3.7520391517128875E-2</c:v>
                </c:pt>
                <c:pt idx="50">
                  <c:v>7.3324905183312264E-2</c:v>
                </c:pt>
                <c:pt idx="51">
                  <c:v>6.7231980617807385E-2</c:v>
                </c:pt>
                <c:pt idx="52">
                  <c:v>6.2978222483814003E-2</c:v>
                </c:pt>
                <c:pt idx="53">
                  <c:v>8.1828442437923254E-2</c:v>
                </c:pt>
                <c:pt idx="54">
                  <c:v>5.9725158562367868E-2</c:v>
                </c:pt>
                <c:pt idx="55">
                  <c:v>4.3674936332218785E-2</c:v>
                </c:pt>
                <c:pt idx="56">
                  <c:v>6.2400339382908079E-2</c:v>
                </c:pt>
                <c:pt idx="57">
                  <c:v>8.3523625157453624E-2</c:v>
                </c:pt>
                <c:pt idx="58">
                  <c:v>6.6325445007009376E-2</c:v>
                </c:pt>
                <c:pt idx="59">
                  <c:v>6.9628259333725379E-2</c:v>
                </c:pt>
                <c:pt idx="60">
                  <c:v>6.8974112235385313E-2</c:v>
                </c:pt>
                <c:pt idx="61">
                  <c:v>6.6438048373812716E-2</c:v>
                </c:pt>
                <c:pt idx="62">
                  <c:v>4.44982686280678E-2</c:v>
                </c:pt>
                <c:pt idx="63">
                  <c:v>3.5110477198322186E-2</c:v>
                </c:pt>
                <c:pt idx="64">
                  <c:v>4.0370361929334644E-2</c:v>
                </c:pt>
                <c:pt idx="65">
                  <c:v>4.8979826103178678E-2</c:v>
                </c:pt>
                <c:pt idx="66">
                  <c:v>4.2539703870853367E-2</c:v>
                </c:pt>
                <c:pt idx="67">
                  <c:v>4.1847410471685949E-2</c:v>
                </c:pt>
                <c:pt idx="68">
                  <c:v>3.4445341289265879E-2</c:v>
                </c:pt>
                <c:pt idx="69">
                  <c:v>3.9669981630988747E-2</c:v>
                </c:pt>
                <c:pt idx="70">
                  <c:v>4.4715447154471545E-2</c:v>
                </c:pt>
                <c:pt idx="71">
                  <c:v>3.650793650793651E-2</c:v>
                </c:pt>
                <c:pt idx="72">
                  <c:v>4.6835443037974683E-2</c:v>
                </c:pt>
                <c:pt idx="73">
                  <c:v>4.6586345381526104E-2</c:v>
                </c:pt>
                <c:pt idx="74">
                  <c:v>5.0649350649350652E-2</c:v>
                </c:pt>
                <c:pt idx="75">
                  <c:v>5.9915611814345994E-2</c:v>
                </c:pt>
                <c:pt idx="76">
                  <c:v>4.3697478991596636E-2</c:v>
                </c:pt>
                <c:pt idx="77">
                  <c:v>5.1337359792924933E-2</c:v>
                </c:pt>
                <c:pt idx="78">
                  <c:v>4.3478260869565216E-2</c:v>
                </c:pt>
                <c:pt idx="79">
                  <c:v>4.505994212484498E-2</c:v>
                </c:pt>
                <c:pt idx="80">
                  <c:v>3.5698737483674359E-2</c:v>
                </c:pt>
                <c:pt idx="81">
                  <c:v>3.1207598371777476E-2</c:v>
                </c:pt>
                <c:pt idx="82">
                  <c:v>2.7765134274010013E-2</c:v>
                </c:pt>
                <c:pt idx="83">
                  <c:v>2.7347310847766638E-2</c:v>
                </c:pt>
                <c:pt idx="84">
                  <c:v>2.9193697868396665E-2</c:v>
                </c:pt>
                <c:pt idx="85">
                  <c:v>3.5191956124314444E-2</c:v>
                </c:pt>
                <c:pt idx="86">
                  <c:v>4.003371260008428E-2</c:v>
                </c:pt>
                <c:pt idx="87">
                  <c:v>3.216911764705882E-2</c:v>
                </c:pt>
                <c:pt idx="88">
                  <c:v>2.8866867729426971E-2</c:v>
                </c:pt>
                <c:pt idx="89">
                  <c:v>2.9279279279279279E-2</c:v>
                </c:pt>
                <c:pt idx="90">
                  <c:v>2.6362038664323375E-2</c:v>
                </c:pt>
                <c:pt idx="91">
                  <c:v>2.0563254358515869E-2</c:v>
                </c:pt>
                <c:pt idx="92">
                  <c:v>1.7034990791896871E-2</c:v>
                </c:pt>
                <c:pt idx="93">
                  <c:v>1.9667832167832168E-2</c:v>
                </c:pt>
                <c:pt idx="94">
                  <c:v>2.0833333333333332E-2</c:v>
                </c:pt>
                <c:pt idx="95">
                  <c:v>2.5221238938053097E-2</c:v>
                </c:pt>
                <c:pt idx="96">
                  <c:v>2.0353982300884955E-2</c:v>
                </c:pt>
                <c:pt idx="97">
                  <c:v>1.3236549957301452E-2</c:v>
                </c:pt>
                <c:pt idx="98">
                  <c:v>1.4119601328903655E-2</c:v>
                </c:pt>
                <c:pt idx="99">
                  <c:v>1.5138408304498269E-2</c:v>
                </c:pt>
                <c:pt idx="100">
                  <c:v>1.2809187279151944E-2</c:v>
                </c:pt>
                <c:pt idx="101">
                  <c:v>1.3605442176870748E-2</c:v>
                </c:pt>
                <c:pt idx="102">
                  <c:v>1.5194681861348529E-2</c:v>
                </c:pt>
                <c:pt idx="103">
                  <c:v>1.4215686274509804E-2</c:v>
                </c:pt>
                <c:pt idx="104">
                  <c:v>8.2564351627003405E-3</c:v>
                </c:pt>
                <c:pt idx="105">
                  <c:v>8.831168831168832E-3</c:v>
                </c:pt>
                <c:pt idx="106">
                  <c:v>1.1055831951354339E-2</c:v>
                </c:pt>
                <c:pt idx="107">
                  <c:v>1.1387163561076604E-2</c:v>
                </c:pt>
                <c:pt idx="108">
                  <c:v>8.6814975583288118E-3</c:v>
                </c:pt>
                <c:pt idx="109">
                  <c:v>1.0600706713780919E-2</c:v>
                </c:pt>
                <c:pt idx="110">
                  <c:v>8.6157380815623207E-3</c:v>
                </c:pt>
                <c:pt idx="111">
                  <c:v>1.0365853658536586E-2</c:v>
                </c:pt>
                <c:pt idx="112">
                  <c:v>7.9863091842555627E-3</c:v>
                </c:pt>
                <c:pt idx="113">
                  <c:v>1.0050251256281407E-2</c:v>
                </c:pt>
                <c:pt idx="114">
                  <c:v>4.7086521483225424E-3</c:v>
                </c:pt>
                <c:pt idx="115">
                  <c:v>8.5242408098028764E-3</c:v>
                </c:pt>
                <c:pt idx="116">
                  <c:v>6.138392857142857E-3</c:v>
                </c:pt>
                <c:pt idx="117">
                  <c:v>5.6039850560398504E-3</c:v>
                </c:pt>
                <c:pt idx="118">
                  <c:v>6.3371356147021544E-3</c:v>
                </c:pt>
                <c:pt idx="119">
                  <c:v>6.2370062370062374E-3</c:v>
                </c:pt>
                <c:pt idx="120">
                  <c:v>3.7650602409638554E-3</c:v>
                </c:pt>
                <c:pt idx="121">
                  <c:v>8.658008658008658E-3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C1-4E1D-BBED-45CE4FD31050}"/>
            </c:ext>
          </c:extLst>
        </c:ser>
        <c:ser>
          <c:idx val="11"/>
          <c:order val="11"/>
          <c:tx>
            <c:strRef>
              <c:f>'[1]tabla total (MIRAR)'!$A$63</c:f>
              <c:strCache>
                <c:ptCount val="1"/>
                <c:pt idx="0">
                  <c:v>Rio Negro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(MIRAR)'!$B$63:$DS$63</c:f>
              <c:numCache>
                <c:formatCode>General</c:formatCode>
                <c:ptCount val="122"/>
                <c:pt idx="0">
                  <c:v>9.5305832147937405E-2</c:v>
                </c:pt>
                <c:pt idx="1">
                  <c:v>0.10296191819464035</c:v>
                </c:pt>
                <c:pt idx="2">
                  <c:v>9.606986899563319E-2</c:v>
                </c:pt>
                <c:pt idx="3">
                  <c:v>8.2251082251082255E-2</c:v>
                </c:pt>
                <c:pt idx="4">
                  <c:v>7.9142011834319528E-2</c:v>
                </c:pt>
                <c:pt idx="5">
                  <c:v>7.5872534142640363E-2</c:v>
                </c:pt>
                <c:pt idx="6">
                  <c:v>8.4400904295403159E-2</c:v>
                </c:pt>
                <c:pt idx="7">
                  <c:v>9.2814371257485026E-2</c:v>
                </c:pt>
                <c:pt idx="8">
                  <c:v>9.5505617977528087E-2</c:v>
                </c:pt>
                <c:pt idx="9">
                  <c:v>9.7073518915060678E-2</c:v>
                </c:pt>
                <c:pt idx="10">
                  <c:v>9.8693759071117562E-2</c:v>
                </c:pt>
                <c:pt idx="11">
                  <c:v>0.11363636363636363</c:v>
                </c:pt>
                <c:pt idx="12">
                  <c:v>0.10611735330836454</c:v>
                </c:pt>
                <c:pt idx="13">
                  <c:v>8.5679314565483472E-2</c:v>
                </c:pt>
                <c:pt idx="14">
                  <c:v>8.0917874396135264E-2</c:v>
                </c:pt>
                <c:pt idx="15">
                  <c:v>7.9601990049751242E-2</c:v>
                </c:pt>
                <c:pt idx="16">
                  <c:v>0.14617169373549885</c:v>
                </c:pt>
                <c:pt idx="17">
                  <c:v>0.13341645885286782</c:v>
                </c:pt>
                <c:pt idx="18">
                  <c:v>0.14109742441209405</c:v>
                </c:pt>
                <c:pt idx="19">
                  <c:v>8.943089430894309E-2</c:v>
                </c:pt>
                <c:pt idx="20">
                  <c:v>8.658536585365853E-2</c:v>
                </c:pt>
                <c:pt idx="21">
                  <c:v>7.1887034659820284E-2</c:v>
                </c:pt>
                <c:pt idx="22">
                  <c:v>7.8521939953810627E-2</c:v>
                </c:pt>
                <c:pt idx="23">
                  <c:v>8.7320574162679424E-2</c:v>
                </c:pt>
                <c:pt idx="24">
                  <c:v>0.10676156583629894</c:v>
                </c:pt>
                <c:pt idx="25">
                  <c:v>0.1207897793263647</c:v>
                </c:pt>
                <c:pt idx="26">
                  <c:v>8.5336538461538464E-2</c:v>
                </c:pt>
                <c:pt idx="27">
                  <c:v>8.0473372781065089E-2</c:v>
                </c:pt>
                <c:pt idx="28">
                  <c:v>0.1111111111111111</c:v>
                </c:pt>
                <c:pt idx="29">
                  <c:v>8.9848308051341891E-2</c:v>
                </c:pt>
                <c:pt idx="30">
                  <c:v>9.2289719626168221E-2</c:v>
                </c:pt>
                <c:pt idx="31">
                  <c:v>9.1915836101882614E-2</c:v>
                </c:pt>
                <c:pt idx="32">
                  <c:v>8.0473372781065089E-2</c:v>
                </c:pt>
                <c:pt idx="33">
                  <c:v>6.1742006615214992E-2</c:v>
                </c:pt>
                <c:pt idx="34">
                  <c:v>7.6178960096735193E-2</c:v>
                </c:pt>
                <c:pt idx="35">
                  <c:v>8.381839348079162E-2</c:v>
                </c:pt>
                <c:pt idx="36">
                  <c:v>8.0485115766262397E-2</c:v>
                </c:pt>
                <c:pt idx="37">
                  <c:v>9.2485549132947972E-2</c:v>
                </c:pt>
                <c:pt idx="38">
                  <c:v>0.11346765641569459</c:v>
                </c:pt>
                <c:pt idx="39">
                  <c:v>7.5178997613365162E-2</c:v>
                </c:pt>
                <c:pt idx="40">
                  <c:v>0.10400866738894908</c:v>
                </c:pt>
                <c:pt idx="41">
                  <c:v>7.4921956295525491E-2</c:v>
                </c:pt>
                <c:pt idx="42">
                  <c:v>0.14002205071664828</c:v>
                </c:pt>
                <c:pt idx="43">
                  <c:v>7.3319755600814662E-2</c:v>
                </c:pt>
                <c:pt idx="44">
                  <c:v>7.050092764378478E-2</c:v>
                </c:pt>
                <c:pt idx="45">
                  <c:v>8.0947680157946691E-2</c:v>
                </c:pt>
                <c:pt idx="46">
                  <c:v>8.3608360836083612E-2</c:v>
                </c:pt>
                <c:pt idx="47">
                  <c:v>5.1537822111388194E-2</c:v>
                </c:pt>
                <c:pt idx="48">
                  <c:v>3.727272727272727E-2</c:v>
                </c:pt>
                <c:pt idx="49">
                  <c:v>4.4176706827309238E-2</c:v>
                </c:pt>
                <c:pt idx="50">
                  <c:v>6.5498154981549817E-2</c:v>
                </c:pt>
                <c:pt idx="51">
                  <c:v>7.792207792207792E-2</c:v>
                </c:pt>
                <c:pt idx="52">
                  <c:v>7.8280044101433299E-2</c:v>
                </c:pt>
                <c:pt idx="53">
                  <c:v>7.7479338842975212E-2</c:v>
                </c:pt>
                <c:pt idx="54">
                  <c:v>6.1946902654867256E-2</c:v>
                </c:pt>
                <c:pt idx="55">
                  <c:v>5.904004775954641E-2</c:v>
                </c:pt>
                <c:pt idx="56">
                  <c:v>6.1595525786815819E-2</c:v>
                </c:pt>
                <c:pt idx="57">
                  <c:v>7.1560025157608897E-2</c:v>
                </c:pt>
                <c:pt idx="58">
                  <c:v>4.9615218764233297E-2</c:v>
                </c:pt>
                <c:pt idx="59">
                  <c:v>7.92961342668701E-2</c:v>
                </c:pt>
                <c:pt idx="60">
                  <c:v>7.9405488049992159E-2</c:v>
                </c:pt>
                <c:pt idx="61">
                  <c:v>6.0135811602141681E-2</c:v>
                </c:pt>
                <c:pt idx="62">
                  <c:v>6.4473687480743752E-2</c:v>
                </c:pt>
                <c:pt idx="63">
                  <c:v>6.5715503861177721E-2</c:v>
                </c:pt>
                <c:pt idx="64">
                  <c:v>6.101504934784549E-2</c:v>
                </c:pt>
                <c:pt idx="65">
                  <c:v>8.8513199688111915E-2</c:v>
                </c:pt>
                <c:pt idx="66">
                  <c:v>4.806821812566648E-2</c:v>
                </c:pt>
                <c:pt idx="67">
                  <c:v>5.701126008990004E-2</c:v>
                </c:pt>
                <c:pt idx="68">
                  <c:v>5.8226736579971808E-2</c:v>
                </c:pt>
                <c:pt idx="69">
                  <c:v>5.1052242180945416E-2</c:v>
                </c:pt>
                <c:pt idx="70">
                  <c:v>4.4036697247706424E-2</c:v>
                </c:pt>
                <c:pt idx="71">
                  <c:v>4.913793103448276E-2</c:v>
                </c:pt>
                <c:pt idx="72">
                  <c:v>4.9056603773584909E-2</c:v>
                </c:pt>
                <c:pt idx="73">
                  <c:v>5.0892857142857142E-2</c:v>
                </c:pt>
                <c:pt idx="74">
                  <c:v>5.0892857142857142E-2</c:v>
                </c:pt>
                <c:pt idx="75">
                  <c:v>4.9166666666666664E-2</c:v>
                </c:pt>
                <c:pt idx="76">
                  <c:v>5.2212389380530973E-2</c:v>
                </c:pt>
                <c:pt idx="77">
                  <c:v>4.2418772563176894E-2</c:v>
                </c:pt>
                <c:pt idx="78">
                  <c:v>3.3333333333333333E-2</c:v>
                </c:pt>
                <c:pt idx="79">
                  <c:v>4.7179487179487181E-2</c:v>
                </c:pt>
                <c:pt idx="80">
                  <c:v>3.4663865546218489E-2</c:v>
                </c:pt>
                <c:pt idx="81">
                  <c:v>2.9818956336528223E-2</c:v>
                </c:pt>
                <c:pt idx="82">
                  <c:v>3.1982942430703626E-2</c:v>
                </c:pt>
                <c:pt idx="83">
                  <c:v>2.9350104821802937E-2</c:v>
                </c:pt>
                <c:pt idx="84">
                  <c:v>2.6615969581749048E-2</c:v>
                </c:pt>
                <c:pt idx="85">
                  <c:v>3.3396946564885496E-2</c:v>
                </c:pt>
                <c:pt idx="86">
                  <c:v>2.4024024024024024E-2</c:v>
                </c:pt>
                <c:pt idx="87">
                  <c:v>2.8747433264887063E-2</c:v>
                </c:pt>
                <c:pt idx="88">
                  <c:v>2.0242914979757085E-2</c:v>
                </c:pt>
                <c:pt idx="89">
                  <c:v>2.8625954198473282E-2</c:v>
                </c:pt>
                <c:pt idx="90">
                  <c:v>2.4714828897338403E-2</c:v>
                </c:pt>
                <c:pt idx="91">
                  <c:v>9.6899224806201549E-3</c:v>
                </c:pt>
                <c:pt idx="92">
                  <c:v>2.0735155513666354E-2</c:v>
                </c:pt>
                <c:pt idx="93">
                  <c:v>1.1638316920322292E-2</c:v>
                </c:pt>
                <c:pt idx="94">
                  <c:v>1.1970534069981584E-2</c:v>
                </c:pt>
                <c:pt idx="95">
                  <c:v>2.5854108956602031E-2</c:v>
                </c:pt>
                <c:pt idx="96">
                  <c:v>1.0156971375807941E-2</c:v>
                </c:pt>
                <c:pt idx="97">
                  <c:v>1.8375241779497099E-2</c:v>
                </c:pt>
                <c:pt idx="98">
                  <c:v>1.4625228519195612E-2</c:v>
                </c:pt>
                <c:pt idx="99">
                  <c:v>7.6997112608277194E-3</c:v>
                </c:pt>
                <c:pt idx="100">
                  <c:v>1.3527575442247659E-2</c:v>
                </c:pt>
                <c:pt idx="101">
                  <c:v>1.083743842364532E-2</c:v>
                </c:pt>
                <c:pt idx="102">
                  <c:v>1.1904761904761904E-2</c:v>
                </c:pt>
                <c:pt idx="103">
                  <c:v>1.9108280254777069E-2</c:v>
                </c:pt>
                <c:pt idx="104">
                  <c:v>1.2958963282937365E-2</c:v>
                </c:pt>
                <c:pt idx="105">
                  <c:v>1.2401352874859075E-2</c:v>
                </c:pt>
                <c:pt idx="106">
                  <c:v>1.0256410256410256E-2</c:v>
                </c:pt>
                <c:pt idx="107">
                  <c:v>5.7937427578215531E-3</c:v>
                </c:pt>
                <c:pt idx="108">
                  <c:v>7.0351758793969852E-3</c:v>
                </c:pt>
                <c:pt idx="109">
                  <c:v>4.2689434364994666E-3</c:v>
                </c:pt>
                <c:pt idx="110">
                  <c:v>1.1764705882352941E-2</c:v>
                </c:pt>
                <c:pt idx="111">
                  <c:v>1.098901098901099E-2</c:v>
                </c:pt>
                <c:pt idx="112">
                  <c:v>7.9455164585698068E-3</c:v>
                </c:pt>
                <c:pt idx="113">
                  <c:v>1.4527845036319613E-2</c:v>
                </c:pt>
                <c:pt idx="114">
                  <c:v>7.829977628635347E-3</c:v>
                </c:pt>
                <c:pt idx="115">
                  <c:v>4.6838407494145199E-3</c:v>
                </c:pt>
                <c:pt idx="116">
                  <c:v>9.9502487562189053E-3</c:v>
                </c:pt>
                <c:pt idx="117">
                  <c:v>1.2970168612191958E-3</c:v>
                </c:pt>
                <c:pt idx="118">
                  <c:v>0</c:v>
                </c:pt>
                <c:pt idx="119">
                  <c:v>7.3637702503681884E-3</c:v>
                </c:pt>
                <c:pt idx="120">
                  <c:v>4.815409309791332E-3</c:v>
                </c:pt>
                <c:pt idx="121">
                  <c:v>1.7761989342806395E-3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3C1-4E1D-BBED-45CE4FD31050}"/>
            </c:ext>
          </c:extLst>
        </c:ser>
        <c:ser>
          <c:idx val="12"/>
          <c:order val="12"/>
          <c:tx>
            <c:strRef>
              <c:f>'[1]tabla total (MIRAR)'!$A$64</c:f>
              <c:strCache>
                <c:ptCount val="1"/>
                <c:pt idx="0">
                  <c:v>Rivera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(MIRAR)'!$B$64:$DS$64</c:f>
              <c:numCache>
                <c:formatCode>General</c:formatCode>
                <c:ptCount val="122"/>
                <c:pt idx="0">
                  <c:v>0.12111111111111111</c:v>
                </c:pt>
                <c:pt idx="1">
                  <c:v>9.3679458239277646E-2</c:v>
                </c:pt>
                <c:pt idx="2">
                  <c:v>0.12525252525252525</c:v>
                </c:pt>
                <c:pt idx="3">
                  <c:v>0.11737629459148446</c:v>
                </c:pt>
                <c:pt idx="4">
                  <c:v>0.10070493454179255</c:v>
                </c:pt>
                <c:pt idx="5">
                  <c:v>8.7735004476275733E-2</c:v>
                </c:pt>
                <c:pt idx="6">
                  <c:v>9.7461468721668179E-2</c:v>
                </c:pt>
                <c:pt idx="7">
                  <c:v>0.10743801652892562</c:v>
                </c:pt>
                <c:pt idx="8">
                  <c:v>0.10617283950617284</c:v>
                </c:pt>
                <c:pt idx="9">
                  <c:v>0.11135181975736569</c:v>
                </c:pt>
                <c:pt idx="10">
                  <c:v>0.1171088746569076</c:v>
                </c:pt>
                <c:pt idx="11">
                  <c:v>0.17102315160567588</c:v>
                </c:pt>
                <c:pt idx="12">
                  <c:v>0.1468005018820577</c:v>
                </c:pt>
                <c:pt idx="13">
                  <c:v>0.12952646239554316</c:v>
                </c:pt>
                <c:pt idx="14">
                  <c:v>0.13429602888086642</c:v>
                </c:pt>
                <c:pt idx="15">
                  <c:v>0.16457680250783699</c:v>
                </c:pt>
                <c:pt idx="16">
                  <c:v>0.16099585062240665</c:v>
                </c:pt>
                <c:pt idx="17">
                  <c:v>0.13615023474178403</c:v>
                </c:pt>
                <c:pt idx="18">
                  <c:v>0.15390279823269515</c:v>
                </c:pt>
                <c:pt idx="19">
                  <c:v>0.13875917278185457</c:v>
                </c:pt>
                <c:pt idx="20">
                  <c:v>0.16981132075471697</c:v>
                </c:pt>
                <c:pt idx="21">
                  <c:v>0.15816326530612246</c:v>
                </c:pt>
                <c:pt idx="22">
                  <c:v>0.1228719467061436</c:v>
                </c:pt>
                <c:pt idx="23">
                  <c:v>0.17151848937844216</c:v>
                </c:pt>
                <c:pt idx="24">
                  <c:v>0.14989444053483461</c:v>
                </c:pt>
                <c:pt idx="25">
                  <c:v>0.18246614397719174</c:v>
                </c:pt>
                <c:pt idx="26">
                  <c:v>0.12880258899676375</c:v>
                </c:pt>
                <c:pt idx="27">
                  <c:v>0.13922356091030791</c:v>
                </c:pt>
                <c:pt idx="28">
                  <c:v>0.14993954050785974</c:v>
                </c:pt>
                <c:pt idx="29">
                  <c:v>0.1492354740061162</c:v>
                </c:pt>
                <c:pt idx="30">
                  <c:v>0.12485615650172613</c:v>
                </c:pt>
                <c:pt idx="31">
                  <c:v>0.16389548693586697</c:v>
                </c:pt>
                <c:pt idx="32">
                  <c:v>0.13353658536585367</c:v>
                </c:pt>
                <c:pt idx="33">
                  <c:v>0.12859884836852206</c:v>
                </c:pt>
                <c:pt idx="34">
                  <c:v>0.17018633540372671</c:v>
                </c:pt>
                <c:pt idx="35">
                  <c:v>0.13048855905998763</c:v>
                </c:pt>
                <c:pt idx="36">
                  <c:v>0.12429378531073447</c:v>
                </c:pt>
                <c:pt idx="37">
                  <c:v>0.14871194379391101</c:v>
                </c:pt>
                <c:pt idx="38">
                  <c:v>0.12507444907683143</c:v>
                </c:pt>
                <c:pt idx="39">
                  <c:v>0.13100686498855835</c:v>
                </c:pt>
                <c:pt idx="40">
                  <c:v>0.12215078901227353</c:v>
                </c:pt>
                <c:pt idx="41">
                  <c:v>0.15432098765432098</c:v>
                </c:pt>
                <c:pt idx="42">
                  <c:v>0.15521064301552107</c:v>
                </c:pt>
                <c:pt idx="43">
                  <c:v>0.12868632707774799</c:v>
                </c:pt>
                <c:pt idx="44">
                  <c:v>9.2485549132947972E-2</c:v>
                </c:pt>
                <c:pt idx="45">
                  <c:v>0.10294728102947281</c:v>
                </c:pt>
                <c:pt idx="46">
                  <c:v>8.1276595744680852E-2</c:v>
                </c:pt>
                <c:pt idx="47">
                  <c:v>7.5588121866563829E-2</c:v>
                </c:pt>
                <c:pt idx="48">
                  <c:v>6.1195613724796608E-2</c:v>
                </c:pt>
                <c:pt idx="49">
                  <c:v>4.9575821845174971E-2</c:v>
                </c:pt>
                <c:pt idx="50">
                  <c:v>0.11956521739130435</c:v>
                </c:pt>
                <c:pt idx="51">
                  <c:v>0.1361111111111111</c:v>
                </c:pt>
                <c:pt idx="52">
                  <c:v>0.10365853658536585</c:v>
                </c:pt>
                <c:pt idx="53">
                  <c:v>0.11931818181818182</c:v>
                </c:pt>
                <c:pt idx="54">
                  <c:v>0.12996108949416343</c:v>
                </c:pt>
                <c:pt idx="55">
                  <c:v>0.14477793809970951</c:v>
                </c:pt>
                <c:pt idx="56">
                  <c:v>0.10669319918922196</c:v>
                </c:pt>
                <c:pt idx="57">
                  <c:v>0.12054149079001304</c:v>
                </c:pt>
                <c:pt idx="58">
                  <c:v>0.14235004356117481</c:v>
                </c:pt>
                <c:pt idx="59">
                  <c:v>0.12187249162514399</c:v>
                </c:pt>
                <c:pt idx="60">
                  <c:v>0.11384565073317784</c:v>
                </c:pt>
                <c:pt idx="61">
                  <c:v>0.10005678361503423</c:v>
                </c:pt>
                <c:pt idx="62">
                  <c:v>9.4026056309002862E-2</c:v>
                </c:pt>
                <c:pt idx="63">
                  <c:v>6.502576516812611E-2</c:v>
                </c:pt>
                <c:pt idx="64">
                  <c:v>9.8342356286267057E-2</c:v>
                </c:pt>
                <c:pt idx="65">
                  <c:v>9.5057994219424957E-2</c:v>
                </c:pt>
                <c:pt idx="66">
                  <c:v>6.950526117740026E-2</c:v>
                </c:pt>
                <c:pt idx="67">
                  <c:v>9.0544731242562279E-2</c:v>
                </c:pt>
                <c:pt idx="68">
                  <c:v>6.6637931454661209E-2</c:v>
                </c:pt>
                <c:pt idx="69">
                  <c:v>5.5036057440848725E-2</c:v>
                </c:pt>
                <c:pt idx="70">
                  <c:v>4.3888888888888887E-2</c:v>
                </c:pt>
                <c:pt idx="71">
                  <c:v>5.6315789473684208E-2</c:v>
                </c:pt>
                <c:pt idx="72">
                  <c:v>4.8351648351648353E-2</c:v>
                </c:pt>
                <c:pt idx="73">
                  <c:v>6.4556962025316453E-2</c:v>
                </c:pt>
                <c:pt idx="74">
                  <c:v>5.0931677018633541E-2</c:v>
                </c:pt>
                <c:pt idx="75">
                  <c:v>4.0372670807453416E-2</c:v>
                </c:pt>
                <c:pt idx="76">
                  <c:v>5.0526315789473683E-2</c:v>
                </c:pt>
                <c:pt idx="77">
                  <c:v>6.3856168629882207E-2</c:v>
                </c:pt>
                <c:pt idx="78">
                  <c:v>4.1592394533571005E-2</c:v>
                </c:pt>
                <c:pt idx="79">
                  <c:v>4.1327489041953665E-2</c:v>
                </c:pt>
                <c:pt idx="80">
                  <c:v>2.5371287128712873E-2</c:v>
                </c:pt>
                <c:pt idx="81">
                  <c:v>3.5145888594164454E-2</c:v>
                </c:pt>
                <c:pt idx="82">
                  <c:v>3.3376963350785341E-2</c:v>
                </c:pt>
                <c:pt idx="83">
                  <c:v>3.0808729139922979E-2</c:v>
                </c:pt>
                <c:pt idx="84">
                  <c:v>3.6172695449241538E-2</c:v>
                </c:pt>
                <c:pt idx="85">
                  <c:v>3.5545023696682464E-2</c:v>
                </c:pt>
                <c:pt idx="86">
                  <c:v>2.6423957721667644E-2</c:v>
                </c:pt>
                <c:pt idx="87">
                  <c:v>3.2000000000000001E-2</c:v>
                </c:pt>
                <c:pt idx="88">
                  <c:v>3.1655422937208098E-2</c:v>
                </c:pt>
                <c:pt idx="89">
                  <c:v>2.1316033364226137E-2</c:v>
                </c:pt>
                <c:pt idx="90">
                  <c:v>2.914572864321608E-2</c:v>
                </c:pt>
                <c:pt idx="91">
                  <c:v>3.1527093596059111E-2</c:v>
                </c:pt>
                <c:pt idx="92">
                  <c:v>2.1761133603238867E-2</c:v>
                </c:pt>
                <c:pt idx="93">
                  <c:v>3.0372756557754257E-2</c:v>
                </c:pt>
                <c:pt idx="94">
                  <c:v>2.6937618147448016E-2</c:v>
                </c:pt>
                <c:pt idx="95">
                  <c:v>2.7699530516431925E-2</c:v>
                </c:pt>
                <c:pt idx="96">
                  <c:v>2.4882629107981221E-2</c:v>
                </c:pt>
                <c:pt idx="97">
                  <c:v>1.8092909535452322E-2</c:v>
                </c:pt>
                <c:pt idx="98">
                  <c:v>2.3774866569626393E-2</c:v>
                </c:pt>
                <c:pt idx="99">
                  <c:v>1.7118402282453638E-2</c:v>
                </c:pt>
                <c:pt idx="100">
                  <c:v>1.6008004002000999E-2</c:v>
                </c:pt>
                <c:pt idx="101">
                  <c:v>1.5360169491525424E-2</c:v>
                </c:pt>
                <c:pt idx="102">
                  <c:v>1.5765765765765764E-2</c:v>
                </c:pt>
                <c:pt idx="103">
                  <c:v>1.4958448753462604E-2</c:v>
                </c:pt>
                <c:pt idx="104">
                  <c:v>1.5167930660888408E-2</c:v>
                </c:pt>
                <c:pt idx="105">
                  <c:v>1.2399256044637322E-2</c:v>
                </c:pt>
                <c:pt idx="106">
                  <c:v>1.8617021276595744E-2</c:v>
                </c:pt>
                <c:pt idx="107">
                  <c:v>1.265022137887413E-2</c:v>
                </c:pt>
                <c:pt idx="108">
                  <c:v>1.0863350485991996E-2</c:v>
                </c:pt>
                <c:pt idx="109">
                  <c:v>7.3529411764705881E-3</c:v>
                </c:pt>
                <c:pt idx="110">
                  <c:v>7.4766355140186919E-3</c:v>
                </c:pt>
                <c:pt idx="111">
                  <c:v>1.0455104551045511E-2</c:v>
                </c:pt>
                <c:pt idx="112">
                  <c:v>1.3656114214773432E-2</c:v>
                </c:pt>
                <c:pt idx="113">
                  <c:v>6.024096385542169E-3</c:v>
                </c:pt>
                <c:pt idx="114">
                  <c:v>9.768009768009768E-3</c:v>
                </c:pt>
                <c:pt idx="115">
                  <c:v>7.9545454545454537E-3</c:v>
                </c:pt>
                <c:pt idx="116">
                  <c:v>6.5632458233890216E-3</c:v>
                </c:pt>
                <c:pt idx="117">
                  <c:v>7.4074074074074077E-3</c:v>
                </c:pt>
                <c:pt idx="118">
                  <c:v>7.4165636588380719E-3</c:v>
                </c:pt>
                <c:pt idx="119">
                  <c:v>6.7294751009421266E-3</c:v>
                </c:pt>
                <c:pt idx="120">
                  <c:v>5.3475935828877002E-3</c:v>
                </c:pt>
                <c:pt idx="121">
                  <c:v>5.3394355453852023E-3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3C1-4E1D-BBED-45CE4FD31050}"/>
            </c:ext>
          </c:extLst>
        </c:ser>
        <c:ser>
          <c:idx val="13"/>
          <c:order val="13"/>
          <c:tx>
            <c:strRef>
              <c:f>'[1]tabla total (MIRAR)'!$A$65</c:f>
              <c:strCache>
                <c:ptCount val="1"/>
                <c:pt idx="0">
                  <c:v>Rocha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(MIRAR)'!$B$65:$DS$65</c:f>
              <c:numCache>
                <c:formatCode>General</c:formatCode>
                <c:ptCount val="122"/>
                <c:pt idx="0">
                  <c:v>9.6860986547085207E-2</c:v>
                </c:pt>
                <c:pt idx="1">
                  <c:v>8.5160202360876902E-2</c:v>
                </c:pt>
                <c:pt idx="2">
                  <c:v>9.4509450945094511E-2</c:v>
                </c:pt>
                <c:pt idx="3">
                  <c:v>0.12265624999999999</c:v>
                </c:pt>
                <c:pt idx="4">
                  <c:v>0.10688836104513064</c:v>
                </c:pt>
                <c:pt idx="5">
                  <c:v>9.0690208667736763E-2</c:v>
                </c:pt>
                <c:pt idx="6">
                  <c:v>9.6076861489191354E-2</c:v>
                </c:pt>
                <c:pt idx="7">
                  <c:v>0.10143769968051118</c:v>
                </c:pt>
                <c:pt idx="8">
                  <c:v>9.3313739897134457E-2</c:v>
                </c:pt>
                <c:pt idx="9">
                  <c:v>8.3731178846860085E-2</c:v>
                </c:pt>
                <c:pt idx="10">
                  <c:v>7.4155653450807629E-2</c:v>
                </c:pt>
                <c:pt idx="11">
                  <c:v>9.0702947845804988E-2</c:v>
                </c:pt>
                <c:pt idx="12">
                  <c:v>9.7031136857349751E-2</c:v>
                </c:pt>
                <c:pt idx="13">
                  <c:v>0.10042735042735043</c:v>
                </c:pt>
                <c:pt idx="14">
                  <c:v>8.3206106870229002E-2</c:v>
                </c:pt>
                <c:pt idx="15">
                  <c:v>9.648466716529544E-2</c:v>
                </c:pt>
                <c:pt idx="16">
                  <c:v>0.12939416604338069</c:v>
                </c:pt>
                <c:pt idx="17">
                  <c:v>0.10065645514223195</c:v>
                </c:pt>
                <c:pt idx="18">
                  <c:v>8.4635416666666671E-2</c:v>
                </c:pt>
                <c:pt idx="19">
                  <c:v>8.9095744680851061E-2</c:v>
                </c:pt>
                <c:pt idx="20">
                  <c:v>0.10267229254571027</c:v>
                </c:pt>
                <c:pt idx="21">
                  <c:v>0.10707204230006609</c:v>
                </c:pt>
                <c:pt idx="22">
                  <c:v>8.6317135549872123E-2</c:v>
                </c:pt>
                <c:pt idx="23">
                  <c:v>6.7893401015228422E-2</c:v>
                </c:pt>
                <c:pt idx="24">
                  <c:v>0.1096305269533616</c:v>
                </c:pt>
                <c:pt idx="25">
                  <c:v>0.10218068535825545</c:v>
                </c:pt>
                <c:pt idx="26">
                  <c:v>7.8018575851393185E-2</c:v>
                </c:pt>
                <c:pt idx="27">
                  <c:v>9.2165898617511524E-2</c:v>
                </c:pt>
                <c:pt idx="28">
                  <c:v>0.12609970674486803</c:v>
                </c:pt>
                <c:pt idx="29">
                  <c:v>8.5310734463276833E-2</c:v>
                </c:pt>
                <c:pt idx="30">
                  <c:v>8.8202866593164272E-2</c:v>
                </c:pt>
                <c:pt idx="31">
                  <c:v>8.2039911308203997E-2</c:v>
                </c:pt>
                <c:pt idx="32">
                  <c:v>0.08</c:v>
                </c:pt>
                <c:pt idx="33">
                  <c:v>8.7525844245348039E-2</c:v>
                </c:pt>
                <c:pt idx="34">
                  <c:v>7.3414112615823229E-2</c:v>
                </c:pt>
                <c:pt idx="35">
                  <c:v>7.1715817694369979E-2</c:v>
                </c:pt>
                <c:pt idx="36">
                  <c:v>7.0412517780938835E-2</c:v>
                </c:pt>
                <c:pt idx="37">
                  <c:v>6.13107822410148E-2</c:v>
                </c:pt>
                <c:pt idx="38">
                  <c:v>6.6392881587953451E-2</c:v>
                </c:pt>
                <c:pt idx="39">
                  <c:v>6.0283687943262408E-2</c:v>
                </c:pt>
                <c:pt idx="40">
                  <c:v>5.5555555555555552E-2</c:v>
                </c:pt>
                <c:pt idx="41">
                  <c:v>4.9707602339181284E-2</c:v>
                </c:pt>
                <c:pt idx="42">
                  <c:v>7.9639368895567247E-2</c:v>
                </c:pt>
                <c:pt idx="43">
                  <c:v>5.3301511535401754E-2</c:v>
                </c:pt>
                <c:pt idx="44">
                  <c:v>6.3547486033519548E-2</c:v>
                </c:pt>
                <c:pt idx="45">
                  <c:v>4.2372881355932202E-2</c:v>
                </c:pt>
                <c:pt idx="46">
                  <c:v>3.385579937304075E-2</c:v>
                </c:pt>
                <c:pt idx="47">
                  <c:v>5.0368550368550369E-2</c:v>
                </c:pt>
                <c:pt idx="48">
                  <c:v>4.7949526813880129E-2</c:v>
                </c:pt>
                <c:pt idx="49">
                  <c:v>2.8183190739808756E-2</c:v>
                </c:pt>
                <c:pt idx="50">
                  <c:v>5.7788944723618091E-2</c:v>
                </c:pt>
                <c:pt idx="51">
                  <c:v>4.3560606060606064E-2</c:v>
                </c:pt>
                <c:pt idx="52">
                  <c:v>5.8764940239043828E-2</c:v>
                </c:pt>
                <c:pt idx="53">
                  <c:v>4.3523316062176166E-2</c:v>
                </c:pt>
                <c:pt idx="54">
                  <c:v>6.3522617901828685E-2</c:v>
                </c:pt>
                <c:pt idx="55">
                  <c:v>6.5141193368341635E-2</c:v>
                </c:pt>
                <c:pt idx="56">
                  <c:v>5.4348054060343556E-2</c:v>
                </c:pt>
                <c:pt idx="57">
                  <c:v>4.3654530324324134E-2</c:v>
                </c:pt>
                <c:pt idx="58">
                  <c:v>3.9671911280890197E-2</c:v>
                </c:pt>
                <c:pt idx="59">
                  <c:v>5.640887382684303E-2</c:v>
                </c:pt>
                <c:pt idx="60">
                  <c:v>4.3044370011586758E-2</c:v>
                </c:pt>
                <c:pt idx="61">
                  <c:v>3.2597846767081572E-2</c:v>
                </c:pt>
                <c:pt idx="62">
                  <c:v>4.3569349194048153E-2</c:v>
                </c:pt>
                <c:pt idx="63">
                  <c:v>4.8901415432690359E-2</c:v>
                </c:pt>
                <c:pt idx="64">
                  <c:v>4.3162417716519776E-2</c:v>
                </c:pt>
                <c:pt idx="65">
                  <c:v>3.747607569898101E-2</c:v>
                </c:pt>
                <c:pt idx="66">
                  <c:v>3.1842022174969974E-2</c:v>
                </c:pt>
                <c:pt idx="67">
                  <c:v>4.8897730346926814E-2</c:v>
                </c:pt>
                <c:pt idx="68">
                  <c:v>4.1458646387227044E-2</c:v>
                </c:pt>
                <c:pt idx="69">
                  <c:v>4.0367527127536142E-2</c:v>
                </c:pt>
                <c:pt idx="70">
                  <c:v>3.9285714285714285E-2</c:v>
                </c:pt>
                <c:pt idx="71">
                  <c:v>4.0366972477064222E-2</c:v>
                </c:pt>
                <c:pt idx="72">
                  <c:v>3.7735849056603772E-2</c:v>
                </c:pt>
                <c:pt idx="73">
                  <c:v>3.5897435897435895E-2</c:v>
                </c:pt>
                <c:pt idx="74">
                  <c:v>4.4166666666666667E-2</c:v>
                </c:pt>
                <c:pt idx="75">
                  <c:v>3.7499999999999999E-2</c:v>
                </c:pt>
                <c:pt idx="76">
                  <c:v>4.0322580645161289E-2</c:v>
                </c:pt>
                <c:pt idx="77">
                  <c:v>4.5909849749582635E-2</c:v>
                </c:pt>
                <c:pt idx="78">
                  <c:v>4.0517241379310343E-2</c:v>
                </c:pt>
                <c:pt idx="79">
                  <c:v>3.283302063789869E-2</c:v>
                </c:pt>
                <c:pt idx="80">
                  <c:v>2.6794258373205742E-2</c:v>
                </c:pt>
                <c:pt idx="81">
                  <c:v>2.4691358024691357E-2</c:v>
                </c:pt>
                <c:pt idx="82">
                  <c:v>3.2579185520361993E-2</c:v>
                </c:pt>
                <c:pt idx="83">
                  <c:v>2.3719165085388995E-2</c:v>
                </c:pt>
                <c:pt idx="84">
                  <c:v>2.6724137931034484E-2</c:v>
                </c:pt>
                <c:pt idx="85">
                  <c:v>3.7183544303797465E-2</c:v>
                </c:pt>
                <c:pt idx="86">
                  <c:v>2.9962546816479401E-2</c:v>
                </c:pt>
                <c:pt idx="87">
                  <c:v>2.7385159010600707E-2</c:v>
                </c:pt>
                <c:pt idx="88">
                  <c:v>1.595298068849706E-2</c:v>
                </c:pt>
                <c:pt idx="89">
                  <c:v>2.1812080536912751E-2</c:v>
                </c:pt>
                <c:pt idx="90">
                  <c:v>1.4950166112956811E-2</c:v>
                </c:pt>
                <c:pt idx="91">
                  <c:v>2.7093596059113302E-2</c:v>
                </c:pt>
                <c:pt idx="92">
                  <c:v>2.7457927369353409E-2</c:v>
                </c:pt>
                <c:pt idx="93">
                  <c:v>2.1172638436482084E-2</c:v>
                </c:pt>
                <c:pt idx="94">
                  <c:v>1.1904761904761904E-2</c:v>
                </c:pt>
                <c:pt idx="95">
                  <c:v>2.1479713603818614E-2</c:v>
                </c:pt>
                <c:pt idx="96">
                  <c:v>2.3070803500397773E-2</c:v>
                </c:pt>
                <c:pt idx="97">
                  <c:v>2.1541010770505385E-2</c:v>
                </c:pt>
                <c:pt idx="98">
                  <c:v>1.5329125338142471E-2</c:v>
                </c:pt>
                <c:pt idx="99">
                  <c:v>1.6339869281045753E-2</c:v>
                </c:pt>
                <c:pt idx="100">
                  <c:v>1.4312977099236641E-2</c:v>
                </c:pt>
                <c:pt idx="101">
                  <c:v>1.1461318051575931E-2</c:v>
                </c:pt>
                <c:pt idx="102">
                  <c:v>1.5209125475285171E-2</c:v>
                </c:pt>
                <c:pt idx="103">
                  <c:v>1.4097744360902255E-2</c:v>
                </c:pt>
                <c:pt idx="104">
                  <c:v>1.9455252918287938E-2</c:v>
                </c:pt>
                <c:pt idx="105">
                  <c:v>1.3429752066115703E-2</c:v>
                </c:pt>
                <c:pt idx="106">
                  <c:v>8.7145969498910684E-3</c:v>
                </c:pt>
                <c:pt idx="107">
                  <c:v>9.74025974025974E-3</c:v>
                </c:pt>
                <c:pt idx="108">
                  <c:v>1.1988011988011988E-2</c:v>
                </c:pt>
                <c:pt idx="109">
                  <c:v>9.8716683119447184E-3</c:v>
                </c:pt>
                <c:pt idx="110">
                  <c:v>8.8582677165354329E-3</c:v>
                </c:pt>
                <c:pt idx="111">
                  <c:v>5.0607287449392713E-3</c:v>
                </c:pt>
                <c:pt idx="112">
                  <c:v>1.1410788381742738E-2</c:v>
                </c:pt>
                <c:pt idx="113">
                  <c:v>1.1527377521613832E-2</c:v>
                </c:pt>
                <c:pt idx="114">
                  <c:v>1.0384215991692628E-2</c:v>
                </c:pt>
                <c:pt idx="115">
                  <c:v>5.0403225806451612E-3</c:v>
                </c:pt>
                <c:pt idx="116">
                  <c:v>7.9681274900398405E-3</c:v>
                </c:pt>
                <c:pt idx="117">
                  <c:v>7.5107296137339056E-3</c:v>
                </c:pt>
                <c:pt idx="118">
                  <c:v>3.6585365853658539E-3</c:v>
                </c:pt>
                <c:pt idx="119">
                  <c:v>9.9255583126550868E-3</c:v>
                </c:pt>
                <c:pt idx="120">
                  <c:v>3.8363171355498722E-3</c:v>
                </c:pt>
                <c:pt idx="121">
                  <c:v>7.9575596816976128E-3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3C1-4E1D-BBED-45CE4FD31050}"/>
            </c:ext>
          </c:extLst>
        </c:ser>
        <c:ser>
          <c:idx val="14"/>
          <c:order val="14"/>
          <c:tx>
            <c:strRef>
              <c:f>'[1]tabla total (MIRAR)'!$A$66</c:f>
              <c:strCache>
                <c:ptCount val="1"/>
                <c:pt idx="0">
                  <c:v>Salto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(MIRAR)'!$B$66:$DS$66</c:f>
              <c:numCache>
                <c:formatCode>General</c:formatCode>
                <c:ptCount val="122"/>
                <c:pt idx="0">
                  <c:v>0.10903010033444815</c:v>
                </c:pt>
                <c:pt idx="1">
                  <c:v>0.10834454912516824</c:v>
                </c:pt>
                <c:pt idx="2">
                  <c:v>0.12681638044914134</c:v>
                </c:pt>
                <c:pt idx="3">
                  <c:v>0.15374331550802139</c:v>
                </c:pt>
                <c:pt idx="4">
                  <c:v>0.12226797592651251</c:v>
                </c:pt>
                <c:pt idx="5">
                  <c:v>9.3919325707405174E-2</c:v>
                </c:pt>
                <c:pt idx="6">
                  <c:v>0.12696417347580138</c:v>
                </c:pt>
                <c:pt idx="7">
                  <c:v>0.16305062458908612</c:v>
                </c:pt>
                <c:pt idx="8">
                  <c:v>0.13164251207729469</c:v>
                </c:pt>
                <c:pt idx="9">
                  <c:v>0.12808497344579819</c:v>
                </c:pt>
                <c:pt idx="10">
                  <c:v>0.12427184466019417</c:v>
                </c:pt>
                <c:pt idx="11">
                  <c:v>0.1150497512437811</c:v>
                </c:pt>
                <c:pt idx="12">
                  <c:v>0.13116656993615786</c:v>
                </c:pt>
                <c:pt idx="13">
                  <c:v>0.10011248593925759</c:v>
                </c:pt>
                <c:pt idx="14">
                  <c:v>0.12002212389380532</c:v>
                </c:pt>
                <c:pt idx="15">
                  <c:v>0.11154058531198233</c:v>
                </c:pt>
                <c:pt idx="16">
                  <c:v>0.18679357525282569</c:v>
                </c:pt>
                <c:pt idx="17">
                  <c:v>0.10837988826815642</c:v>
                </c:pt>
                <c:pt idx="18">
                  <c:v>0.15717415115005476</c:v>
                </c:pt>
                <c:pt idx="19">
                  <c:v>0.12772925764192139</c:v>
                </c:pt>
                <c:pt idx="20">
                  <c:v>0.11157239231966788</c:v>
                </c:pt>
                <c:pt idx="21">
                  <c:v>0.11880165289256199</c:v>
                </c:pt>
                <c:pt idx="22">
                  <c:v>7.7088948787061989E-2</c:v>
                </c:pt>
                <c:pt idx="23">
                  <c:v>0.10800644814615798</c:v>
                </c:pt>
                <c:pt idx="24">
                  <c:v>0.12048832271762208</c:v>
                </c:pt>
                <c:pt idx="25">
                  <c:v>9.784244856999498E-2</c:v>
                </c:pt>
                <c:pt idx="26">
                  <c:v>0.10539336961900049</c:v>
                </c:pt>
                <c:pt idx="27">
                  <c:v>0.12911266201395813</c:v>
                </c:pt>
                <c:pt idx="28">
                  <c:v>9.9255583126550875E-2</c:v>
                </c:pt>
                <c:pt idx="29">
                  <c:v>8.6016338298894768E-2</c:v>
                </c:pt>
                <c:pt idx="30">
                  <c:v>0.12152614225153086</c:v>
                </c:pt>
                <c:pt idx="31">
                  <c:v>0.11699677567941041</c:v>
                </c:pt>
                <c:pt idx="32">
                  <c:v>0.10958254269449716</c:v>
                </c:pt>
                <c:pt idx="33">
                  <c:v>0.10810810810810811</c:v>
                </c:pt>
                <c:pt idx="34">
                  <c:v>0.1092436974789916</c:v>
                </c:pt>
                <c:pt idx="35">
                  <c:v>0.13726487036095578</c:v>
                </c:pt>
                <c:pt idx="36">
                  <c:v>0.12260343087790111</c:v>
                </c:pt>
                <c:pt idx="37">
                  <c:v>9.5577020843924762E-2</c:v>
                </c:pt>
                <c:pt idx="38">
                  <c:v>0.12585571353343866</c:v>
                </c:pt>
                <c:pt idx="39">
                  <c:v>7.7714873906330417E-2</c:v>
                </c:pt>
                <c:pt idx="40">
                  <c:v>8.1001472754050077E-2</c:v>
                </c:pt>
                <c:pt idx="41">
                  <c:v>0.1009506564056134</c:v>
                </c:pt>
                <c:pt idx="42">
                  <c:v>9.2148566055477193E-2</c:v>
                </c:pt>
                <c:pt idx="43">
                  <c:v>9.6441947565543071E-2</c:v>
                </c:pt>
                <c:pt idx="44">
                  <c:v>8.719101123595506E-2</c:v>
                </c:pt>
                <c:pt idx="45">
                  <c:v>6.1003861003861001E-2</c:v>
                </c:pt>
                <c:pt idx="46">
                  <c:v>5.5900621118012424E-2</c:v>
                </c:pt>
                <c:pt idx="47">
                  <c:v>8.4116541353383464E-2</c:v>
                </c:pt>
                <c:pt idx="48">
                  <c:v>9.552656104380243E-2</c:v>
                </c:pt>
                <c:pt idx="49">
                  <c:v>4.8750000000000002E-2</c:v>
                </c:pt>
                <c:pt idx="50">
                  <c:v>7.1586389748121967E-2</c:v>
                </c:pt>
                <c:pt idx="51">
                  <c:v>0.14853556485355648</c:v>
                </c:pt>
                <c:pt idx="52">
                  <c:v>0.1107242339832869</c:v>
                </c:pt>
                <c:pt idx="53">
                  <c:v>9.4833224329627208E-2</c:v>
                </c:pt>
                <c:pt idx="54">
                  <c:v>7.6062639821029079E-2</c:v>
                </c:pt>
                <c:pt idx="55">
                  <c:v>7.6734369901796995E-2</c:v>
                </c:pt>
                <c:pt idx="56">
                  <c:v>9.5074614259841164E-2</c:v>
                </c:pt>
                <c:pt idx="57">
                  <c:v>0.10317554868471028</c:v>
                </c:pt>
                <c:pt idx="58">
                  <c:v>6.138992279897186E-2</c:v>
                </c:pt>
                <c:pt idx="59">
                  <c:v>9.8080182628457746E-2</c:v>
                </c:pt>
                <c:pt idx="60">
                  <c:v>0.11643319321055236</c:v>
                </c:pt>
                <c:pt idx="61">
                  <c:v>8.4486555495056792E-2</c:v>
                </c:pt>
                <c:pt idx="62">
                  <c:v>9.0411019624017541E-2</c:v>
                </c:pt>
                <c:pt idx="63">
                  <c:v>6.5286774368284436E-2</c:v>
                </c:pt>
                <c:pt idx="64">
                  <c:v>7.9519901708135055E-2</c:v>
                </c:pt>
                <c:pt idx="65">
                  <c:v>8.0169472742578796E-2</c:v>
                </c:pt>
                <c:pt idx="66">
                  <c:v>7.768884642422981E-2</c:v>
                </c:pt>
                <c:pt idx="67">
                  <c:v>5.8069566640809908E-2</c:v>
                </c:pt>
                <c:pt idx="68">
                  <c:v>6.9133425231855047E-2</c:v>
                </c:pt>
                <c:pt idx="69">
                  <c:v>6.9197188296403062E-2</c:v>
                </c:pt>
                <c:pt idx="70">
                  <c:v>6.9230769230769235E-2</c:v>
                </c:pt>
                <c:pt idx="71">
                  <c:v>5.0197628458498025E-2</c:v>
                </c:pt>
                <c:pt idx="72">
                  <c:v>6.1685823754789273E-2</c:v>
                </c:pt>
                <c:pt idx="73">
                  <c:v>7.6492537313432835E-2</c:v>
                </c:pt>
                <c:pt idx="74">
                  <c:v>6.4727272727272731E-2</c:v>
                </c:pt>
                <c:pt idx="75">
                  <c:v>5.7039711191335739E-2</c:v>
                </c:pt>
                <c:pt idx="76">
                  <c:v>5.1929824561403506E-2</c:v>
                </c:pt>
                <c:pt idx="77">
                  <c:v>5.8552164655784243E-2</c:v>
                </c:pt>
                <c:pt idx="78">
                  <c:v>6.2256809338521402E-2</c:v>
                </c:pt>
                <c:pt idx="79">
                  <c:v>6.4745508982035932E-2</c:v>
                </c:pt>
                <c:pt idx="80">
                  <c:v>5.1005212211466866E-2</c:v>
                </c:pt>
                <c:pt idx="81">
                  <c:v>3.0892448512585814E-2</c:v>
                </c:pt>
                <c:pt idx="82">
                  <c:v>2.7037466203167246E-2</c:v>
                </c:pt>
                <c:pt idx="83">
                  <c:v>3.5491419656786274E-2</c:v>
                </c:pt>
                <c:pt idx="84">
                  <c:v>2.8717545239968528E-2</c:v>
                </c:pt>
                <c:pt idx="85">
                  <c:v>3.0314097881665451E-2</c:v>
                </c:pt>
                <c:pt idx="86">
                  <c:v>3.115501519756839E-2</c:v>
                </c:pt>
                <c:pt idx="87">
                  <c:v>2.3505976095617529E-2</c:v>
                </c:pt>
                <c:pt idx="88">
                  <c:v>1.7361111111111112E-2</c:v>
                </c:pt>
                <c:pt idx="89">
                  <c:v>2.1619496855345911E-2</c:v>
                </c:pt>
                <c:pt idx="90">
                  <c:v>2.1292491595069109E-2</c:v>
                </c:pt>
                <c:pt idx="91">
                  <c:v>2.2544283413848631E-2</c:v>
                </c:pt>
                <c:pt idx="92">
                  <c:v>1.539708265802269E-2</c:v>
                </c:pt>
                <c:pt idx="93">
                  <c:v>2.4599329109206113E-2</c:v>
                </c:pt>
                <c:pt idx="94">
                  <c:v>1.6713091922005572E-2</c:v>
                </c:pt>
                <c:pt idx="95">
                  <c:v>2.0272631946871723E-2</c:v>
                </c:pt>
                <c:pt idx="96">
                  <c:v>1.6777350576721427E-2</c:v>
                </c:pt>
                <c:pt idx="97">
                  <c:v>2.309635510645976E-2</c:v>
                </c:pt>
                <c:pt idx="98">
                  <c:v>2.1880998080614205E-2</c:v>
                </c:pt>
                <c:pt idx="99">
                  <c:v>1.891891891891892E-2</c:v>
                </c:pt>
                <c:pt idx="100">
                  <c:v>1.4348345954563571E-2</c:v>
                </c:pt>
                <c:pt idx="101">
                  <c:v>2.199170124481328E-2</c:v>
                </c:pt>
                <c:pt idx="102">
                  <c:v>1.4748054076198279E-2</c:v>
                </c:pt>
                <c:pt idx="103">
                  <c:v>2.1957913998170174E-2</c:v>
                </c:pt>
                <c:pt idx="104">
                  <c:v>1.1175681716584712E-2</c:v>
                </c:pt>
                <c:pt idx="105">
                  <c:v>1.8078020932445291E-2</c:v>
                </c:pt>
                <c:pt idx="106">
                  <c:v>8.049242424242424E-3</c:v>
                </c:pt>
                <c:pt idx="107">
                  <c:v>1.2048192771084338E-2</c:v>
                </c:pt>
                <c:pt idx="108">
                  <c:v>1.3831258644536652E-2</c:v>
                </c:pt>
                <c:pt idx="109">
                  <c:v>1.3132295719844358E-2</c:v>
                </c:pt>
                <c:pt idx="110">
                  <c:v>1.0471204188481676E-2</c:v>
                </c:pt>
                <c:pt idx="111">
                  <c:v>1.2334399269072635E-2</c:v>
                </c:pt>
                <c:pt idx="112">
                  <c:v>1.3199817933545745E-2</c:v>
                </c:pt>
                <c:pt idx="113">
                  <c:v>9.7623089983022073E-3</c:v>
                </c:pt>
                <c:pt idx="114">
                  <c:v>4.4424700133274099E-3</c:v>
                </c:pt>
                <c:pt idx="115">
                  <c:v>7.819287576020852E-3</c:v>
                </c:pt>
                <c:pt idx="116">
                  <c:v>1.0948905109489052E-2</c:v>
                </c:pt>
                <c:pt idx="117">
                  <c:v>7.6481835564053535E-3</c:v>
                </c:pt>
                <c:pt idx="118">
                  <c:v>7.6844262295081966E-3</c:v>
                </c:pt>
                <c:pt idx="119">
                  <c:v>1.001669449081803E-2</c:v>
                </c:pt>
                <c:pt idx="120">
                  <c:v>2.9515938606847697E-3</c:v>
                </c:pt>
                <c:pt idx="121">
                  <c:v>7.0108349267049078E-3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3C1-4E1D-BBED-45CE4FD31050}"/>
            </c:ext>
          </c:extLst>
        </c:ser>
        <c:ser>
          <c:idx val="15"/>
          <c:order val="15"/>
          <c:tx>
            <c:strRef>
              <c:f>'[1]tabla total (MIRAR)'!$A$67</c:f>
              <c:strCache>
                <c:ptCount val="1"/>
                <c:pt idx="0">
                  <c:v>San Jose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(MIRAR)'!$B$67:$DS$67</c:f>
              <c:numCache>
                <c:formatCode>General</c:formatCode>
                <c:ptCount val="122"/>
                <c:pt idx="0">
                  <c:v>0.10838709677419354</c:v>
                </c:pt>
                <c:pt idx="1">
                  <c:v>9.6594427244582046E-2</c:v>
                </c:pt>
                <c:pt idx="2">
                  <c:v>9.1809775429326293E-2</c:v>
                </c:pt>
                <c:pt idx="3">
                  <c:v>9.6055979643765901E-2</c:v>
                </c:pt>
                <c:pt idx="4">
                  <c:v>9.2717356432467118E-2</c:v>
                </c:pt>
                <c:pt idx="5">
                  <c:v>8.9320388349514557E-2</c:v>
                </c:pt>
                <c:pt idx="6">
                  <c:v>9.8684210526315791E-2</c:v>
                </c:pt>
                <c:pt idx="7">
                  <c:v>0.10746812386156648</c:v>
                </c:pt>
                <c:pt idx="8">
                  <c:v>9.2636579572446559E-2</c:v>
                </c:pt>
                <c:pt idx="9">
                  <c:v>0.10046728971962617</c:v>
                </c:pt>
                <c:pt idx="10">
                  <c:v>0.10804597701149425</c:v>
                </c:pt>
                <c:pt idx="11">
                  <c:v>0.10765687967760507</c:v>
                </c:pt>
                <c:pt idx="12">
                  <c:v>9.2873831775700938E-2</c:v>
                </c:pt>
                <c:pt idx="13">
                  <c:v>7.8330474556889657E-2</c:v>
                </c:pt>
                <c:pt idx="14">
                  <c:v>7.4292452830188677E-2</c:v>
                </c:pt>
                <c:pt idx="15">
                  <c:v>9.375E-2</c:v>
                </c:pt>
                <c:pt idx="16">
                  <c:v>0.11651651651651651</c:v>
                </c:pt>
                <c:pt idx="17">
                  <c:v>9.8732488325550372E-2</c:v>
                </c:pt>
                <c:pt idx="18">
                  <c:v>9.45945945945946E-2</c:v>
                </c:pt>
                <c:pt idx="19">
                  <c:v>8.8380716934487027E-2</c:v>
                </c:pt>
                <c:pt idx="20">
                  <c:v>0.12589227774172615</c:v>
                </c:pt>
                <c:pt idx="21">
                  <c:v>9.2258064516129029E-2</c:v>
                </c:pt>
                <c:pt idx="22">
                  <c:v>8.3437892095357596E-2</c:v>
                </c:pt>
                <c:pt idx="23">
                  <c:v>8.2331730769230768E-2</c:v>
                </c:pt>
                <c:pt idx="24">
                  <c:v>9.4102885821831864E-2</c:v>
                </c:pt>
                <c:pt idx="25">
                  <c:v>0.11159600997506235</c:v>
                </c:pt>
                <c:pt idx="26">
                  <c:v>8.890330953926022E-2</c:v>
                </c:pt>
                <c:pt idx="27">
                  <c:v>0.10564304461942257</c:v>
                </c:pt>
                <c:pt idx="28">
                  <c:v>9.3350383631713552E-2</c:v>
                </c:pt>
                <c:pt idx="29">
                  <c:v>8.2000000000000003E-2</c:v>
                </c:pt>
                <c:pt idx="30">
                  <c:v>8.5134250163719713E-2</c:v>
                </c:pt>
                <c:pt idx="31">
                  <c:v>8.1081081081081086E-2</c:v>
                </c:pt>
                <c:pt idx="32">
                  <c:v>6.4802182810368356E-2</c:v>
                </c:pt>
                <c:pt idx="33">
                  <c:v>8.3916083916083919E-2</c:v>
                </c:pt>
                <c:pt idx="34">
                  <c:v>8.4604715672676842E-2</c:v>
                </c:pt>
                <c:pt idx="35">
                  <c:v>7.628865979381444E-2</c:v>
                </c:pt>
                <c:pt idx="36">
                  <c:v>9.6439169139465875E-2</c:v>
                </c:pt>
                <c:pt idx="37">
                  <c:v>7.8556263269639062E-2</c:v>
                </c:pt>
                <c:pt idx="38">
                  <c:v>9.4653179190751446E-2</c:v>
                </c:pt>
                <c:pt idx="39">
                  <c:v>7.0721357850070721E-2</c:v>
                </c:pt>
                <c:pt idx="40">
                  <c:v>6.4971751412429377E-2</c:v>
                </c:pt>
                <c:pt idx="41">
                  <c:v>8.3781706379707915E-2</c:v>
                </c:pt>
                <c:pt idx="42">
                  <c:v>8.6780210867802104E-2</c:v>
                </c:pt>
                <c:pt idx="43">
                  <c:v>5.3600000000000002E-2</c:v>
                </c:pt>
                <c:pt idx="44">
                  <c:v>5.9856344772545887E-2</c:v>
                </c:pt>
                <c:pt idx="45">
                  <c:v>4.4303797468354431E-2</c:v>
                </c:pt>
                <c:pt idx="46">
                  <c:v>4.7799696509863432E-2</c:v>
                </c:pt>
                <c:pt idx="47">
                  <c:v>5.0887573964497043E-2</c:v>
                </c:pt>
                <c:pt idx="48">
                  <c:v>5.033353547604609E-2</c:v>
                </c:pt>
                <c:pt idx="49">
                  <c:v>4.5657015590200446E-2</c:v>
                </c:pt>
                <c:pt idx="50">
                  <c:v>7.0992366412213737E-2</c:v>
                </c:pt>
                <c:pt idx="51">
                  <c:v>4.4635865309318713E-2</c:v>
                </c:pt>
                <c:pt idx="52">
                  <c:v>4.1699449252557044E-2</c:v>
                </c:pt>
                <c:pt idx="53">
                  <c:v>5.4892601431980909E-2</c:v>
                </c:pt>
                <c:pt idx="54">
                  <c:v>4.1057759220598469E-2</c:v>
                </c:pt>
                <c:pt idx="55">
                  <c:v>4.9453444761077159E-2</c:v>
                </c:pt>
                <c:pt idx="56">
                  <c:v>4.4065451963352827E-2</c:v>
                </c:pt>
                <c:pt idx="57">
                  <c:v>6.4904891266400561E-2</c:v>
                </c:pt>
                <c:pt idx="58">
                  <c:v>4.0946633578865917E-2</c:v>
                </c:pt>
                <c:pt idx="59">
                  <c:v>7.0399745361545918E-2</c:v>
                </c:pt>
                <c:pt idx="60">
                  <c:v>3.7316091263060597E-2</c:v>
                </c:pt>
                <c:pt idx="61">
                  <c:v>3.7466315402076358E-2</c:v>
                </c:pt>
                <c:pt idx="62">
                  <c:v>3.4472476392289633E-2</c:v>
                </c:pt>
                <c:pt idx="63">
                  <c:v>4.144817531602369E-2</c:v>
                </c:pt>
                <c:pt idx="64">
                  <c:v>2.991903031212571E-2</c:v>
                </c:pt>
                <c:pt idx="65">
                  <c:v>4.640480789038097E-2</c:v>
                </c:pt>
                <c:pt idx="66">
                  <c:v>3.1526005261903918E-2</c:v>
                </c:pt>
                <c:pt idx="67">
                  <c:v>4.1097171649883635E-2</c:v>
                </c:pt>
                <c:pt idx="68">
                  <c:v>4.4619576060744147E-2</c:v>
                </c:pt>
                <c:pt idx="69">
                  <c:v>3.9464320128878752E-2</c:v>
                </c:pt>
                <c:pt idx="70">
                  <c:v>3.4435483870967738E-2</c:v>
                </c:pt>
                <c:pt idx="71">
                  <c:v>3.2666666666666663E-2</c:v>
                </c:pt>
                <c:pt idx="72">
                  <c:v>3.4744525547445254E-2</c:v>
                </c:pt>
                <c:pt idx="73">
                  <c:v>3.9499999999999993E-2</c:v>
                </c:pt>
                <c:pt idx="74">
                  <c:v>2.8538461538461537E-2</c:v>
                </c:pt>
                <c:pt idx="75">
                  <c:v>3.3055555555555553E-2</c:v>
                </c:pt>
                <c:pt idx="76">
                  <c:v>3.6381578947368418E-2</c:v>
                </c:pt>
                <c:pt idx="77">
                  <c:v>2.8378378378378376E-2</c:v>
                </c:pt>
                <c:pt idx="78">
                  <c:v>2.8450920245398772E-2</c:v>
                </c:pt>
                <c:pt idx="79">
                  <c:v>3.4426229508196717E-2</c:v>
                </c:pt>
                <c:pt idx="80">
                  <c:v>3.2389046270066099E-2</c:v>
                </c:pt>
                <c:pt idx="81">
                  <c:v>2.7411652340019101E-2</c:v>
                </c:pt>
                <c:pt idx="82">
                  <c:v>3.8375634517766495E-2</c:v>
                </c:pt>
                <c:pt idx="83">
                  <c:v>4.0036900369003689E-2</c:v>
                </c:pt>
                <c:pt idx="84">
                  <c:v>2.3381294964028777E-2</c:v>
                </c:pt>
                <c:pt idx="85">
                  <c:v>3.0927835051546393E-2</c:v>
                </c:pt>
                <c:pt idx="86">
                  <c:v>1.9653179190751446E-2</c:v>
                </c:pt>
                <c:pt idx="87">
                  <c:v>2.2516556291390728E-2</c:v>
                </c:pt>
                <c:pt idx="88">
                  <c:v>1.5276893698281349E-2</c:v>
                </c:pt>
                <c:pt idx="89">
                  <c:v>2.1345407503234153E-2</c:v>
                </c:pt>
                <c:pt idx="90">
                  <c:v>2.6168224299065422E-2</c:v>
                </c:pt>
                <c:pt idx="91">
                  <c:v>2.403846153846154E-2</c:v>
                </c:pt>
                <c:pt idx="92">
                  <c:v>1.2980269989615784E-2</c:v>
                </c:pt>
                <c:pt idx="93">
                  <c:v>1.5231400117164616E-2</c:v>
                </c:pt>
                <c:pt idx="94">
                  <c:v>1.9768234492160874E-2</c:v>
                </c:pt>
                <c:pt idx="95">
                  <c:v>1.8417462482946793E-2</c:v>
                </c:pt>
                <c:pt idx="96">
                  <c:v>2.3192360163710776E-2</c:v>
                </c:pt>
                <c:pt idx="97">
                  <c:v>1.0501750291715286E-2</c:v>
                </c:pt>
                <c:pt idx="98">
                  <c:v>1.6362492133417242E-2</c:v>
                </c:pt>
                <c:pt idx="99">
                  <c:v>1.2391573729863693E-2</c:v>
                </c:pt>
                <c:pt idx="100">
                  <c:v>1.1533242876526458E-2</c:v>
                </c:pt>
                <c:pt idx="101">
                  <c:v>1.077996195307546E-2</c:v>
                </c:pt>
                <c:pt idx="102">
                  <c:v>1.1635423400129283E-2</c:v>
                </c:pt>
                <c:pt idx="103">
                  <c:v>1.0500308832612723E-2</c:v>
                </c:pt>
                <c:pt idx="104">
                  <c:v>1.2931034482758621E-2</c:v>
                </c:pt>
                <c:pt idx="105">
                  <c:v>1.5395894428152493E-2</c:v>
                </c:pt>
                <c:pt idx="106">
                  <c:v>6.8917987594762234E-3</c:v>
                </c:pt>
                <c:pt idx="107">
                  <c:v>7.4880871341048332E-3</c:v>
                </c:pt>
                <c:pt idx="108">
                  <c:v>9.6286107290233843E-3</c:v>
                </c:pt>
                <c:pt idx="109">
                  <c:v>9.372746935832732E-3</c:v>
                </c:pt>
                <c:pt idx="110">
                  <c:v>5.5478502080443829E-3</c:v>
                </c:pt>
                <c:pt idx="111">
                  <c:v>1.0378057820607857E-2</c:v>
                </c:pt>
                <c:pt idx="112">
                  <c:v>7.3726541554959783E-3</c:v>
                </c:pt>
                <c:pt idx="113">
                  <c:v>1.314878892733564E-2</c:v>
                </c:pt>
                <c:pt idx="114">
                  <c:v>8.119079837618403E-3</c:v>
                </c:pt>
                <c:pt idx="115">
                  <c:v>7.9136690647482015E-3</c:v>
                </c:pt>
                <c:pt idx="116">
                  <c:v>4.1465100207325502E-3</c:v>
                </c:pt>
                <c:pt idx="117">
                  <c:v>3.9840637450199202E-3</c:v>
                </c:pt>
                <c:pt idx="118">
                  <c:v>6.8610634648370496E-3</c:v>
                </c:pt>
                <c:pt idx="119">
                  <c:v>1.3052208835341365E-2</c:v>
                </c:pt>
                <c:pt idx="120">
                  <c:v>1.1627906976744186E-2</c:v>
                </c:pt>
                <c:pt idx="121">
                  <c:v>7.3761854583772393E-3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3C1-4E1D-BBED-45CE4FD31050}"/>
            </c:ext>
          </c:extLst>
        </c:ser>
        <c:ser>
          <c:idx val="16"/>
          <c:order val="16"/>
          <c:tx>
            <c:strRef>
              <c:f>'[1]tabla total (MIRAR)'!$A$68</c:f>
              <c:strCache>
                <c:ptCount val="1"/>
                <c:pt idx="0">
                  <c:v>Soriano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(MIRAR)'!$B$68:$DS$68</c:f>
              <c:numCache>
                <c:formatCode>General</c:formatCode>
                <c:ptCount val="122"/>
                <c:pt idx="0">
                  <c:v>0.15570934256055363</c:v>
                </c:pt>
                <c:pt idx="1">
                  <c:v>0.13252032520325202</c:v>
                </c:pt>
                <c:pt idx="2">
                  <c:v>0.12126111560226355</c:v>
                </c:pt>
                <c:pt idx="3">
                  <c:v>0.14717906786590351</c:v>
                </c:pt>
                <c:pt idx="4">
                  <c:v>0.12668024439918535</c:v>
                </c:pt>
                <c:pt idx="5">
                  <c:v>0.10633116883116883</c:v>
                </c:pt>
                <c:pt idx="6">
                  <c:v>0.11216730038022814</c:v>
                </c:pt>
                <c:pt idx="7">
                  <c:v>0.11731044349070101</c:v>
                </c:pt>
                <c:pt idx="8">
                  <c:v>0.12283236994219653</c:v>
                </c:pt>
                <c:pt idx="9">
                  <c:v>0.13371675053918045</c:v>
                </c:pt>
                <c:pt idx="10">
                  <c:v>0.14449213161659513</c:v>
                </c:pt>
                <c:pt idx="11">
                  <c:v>0.11656005685856433</c:v>
                </c:pt>
                <c:pt idx="12">
                  <c:v>0.11030383091149273</c:v>
                </c:pt>
                <c:pt idx="13">
                  <c:v>8.8679245283018862E-2</c:v>
                </c:pt>
                <c:pt idx="14">
                  <c:v>8.6317135549872123E-2</c:v>
                </c:pt>
                <c:pt idx="15">
                  <c:v>0.10932475884244373</c:v>
                </c:pt>
                <c:pt idx="16">
                  <c:v>0.12445278298936835</c:v>
                </c:pt>
                <c:pt idx="17">
                  <c:v>0.11215580926796508</c:v>
                </c:pt>
                <c:pt idx="18">
                  <c:v>0.11849529780564264</c:v>
                </c:pt>
                <c:pt idx="19">
                  <c:v>0.10205278592375366</c:v>
                </c:pt>
                <c:pt idx="20">
                  <c:v>9.1024020227560051E-2</c:v>
                </c:pt>
                <c:pt idx="21">
                  <c:v>0.12937685459940654</c:v>
                </c:pt>
                <c:pt idx="22">
                  <c:v>9.1710758377425039E-2</c:v>
                </c:pt>
                <c:pt idx="23">
                  <c:v>9.3309859154929578E-2</c:v>
                </c:pt>
                <c:pt idx="24">
                  <c:v>9.4587493431424072E-2</c:v>
                </c:pt>
                <c:pt idx="25">
                  <c:v>0.1119606772255598</c:v>
                </c:pt>
                <c:pt idx="26">
                  <c:v>8.5199344620425999E-2</c:v>
                </c:pt>
                <c:pt idx="27">
                  <c:v>9.1403699673558214E-2</c:v>
                </c:pt>
                <c:pt idx="28">
                  <c:v>9.0422685928303909E-2</c:v>
                </c:pt>
                <c:pt idx="29">
                  <c:v>9.927611168562564E-2</c:v>
                </c:pt>
                <c:pt idx="30">
                  <c:v>9.6562184024266931E-2</c:v>
                </c:pt>
                <c:pt idx="31">
                  <c:v>6.9352371239163699E-2</c:v>
                </c:pt>
                <c:pt idx="32">
                  <c:v>0.10627753303964757</c:v>
                </c:pt>
                <c:pt idx="33">
                  <c:v>8.9048106448311154E-2</c:v>
                </c:pt>
                <c:pt idx="34">
                  <c:v>7.8669482576557551E-2</c:v>
                </c:pt>
                <c:pt idx="35">
                  <c:v>8.7614926987560848E-2</c:v>
                </c:pt>
                <c:pt idx="36">
                  <c:v>8.7777777777777774E-2</c:v>
                </c:pt>
                <c:pt idx="37">
                  <c:v>9.387296233839236E-2</c:v>
                </c:pt>
                <c:pt idx="38">
                  <c:v>0.10396039603960396</c:v>
                </c:pt>
                <c:pt idx="39">
                  <c:v>7.0467993544916618E-2</c:v>
                </c:pt>
                <c:pt idx="40">
                  <c:v>9.42970073404856E-2</c:v>
                </c:pt>
                <c:pt idx="41">
                  <c:v>7.0801317233809002E-2</c:v>
                </c:pt>
                <c:pt idx="42">
                  <c:v>9.5438175270108047E-2</c:v>
                </c:pt>
                <c:pt idx="43">
                  <c:v>5.4732041049030788E-2</c:v>
                </c:pt>
                <c:pt idx="44">
                  <c:v>5.9083379348426286E-2</c:v>
                </c:pt>
                <c:pt idx="45">
                  <c:v>4.8985650667986144E-2</c:v>
                </c:pt>
                <c:pt idx="46">
                  <c:v>7.2911392405063294E-2</c:v>
                </c:pt>
                <c:pt idx="47">
                  <c:v>4.5023696682464455E-2</c:v>
                </c:pt>
                <c:pt idx="48">
                  <c:v>5.2296498408367441E-2</c:v>
                </c:pt>
                <c:pt idx="49">
                  <c:v>5.2707930367504832E-2</c:v>
                </c:pt>
                <c:pt idx="50">
                  <c:v>6.0638297872340423E-2</c:v>
                </c:pt>
                <c:pt idx="51">
                  <c:v>8.1003584229390677E-2</c:v>
                </c:pt>
                <c:pt idx="52">
                  <c:v>8.1765557163531108E-2</c:v>
                </c:pt>
                <c:pt idx="53">
                  <c:v>6.7193675889328064E-2</c:v>
                </c:pt>
                <c:pt idx="54">
                  <c:v>5.5524397083567024E-2</c:v>
                </c:pt>
                <c:pt idx="55">
                  <c:v>5.6878378914293662E-2</c:v>
                </c:pt>
                <c:pt idx="56">
                  <c:v>7.7468221027223741E-2</c:v>
                </c:pt>
                <c:pt idx="57">
                  <c:v>7.7218098643361835E-2</c:v>
                </c:pt>
                <c:pt idx="58">
                  <c:v>7.5824405828467625E-2</c:v>
                </c:pt>
                <c:pt idx="59">
                  <c:v>8.0142445402154219E-2</c:v>
                </c:pt>
                <c:pt idx="60">
                  <c:v>7.6447515349271064E-2</c:v>
                </c:pt>
                <c:pt idx="61">
                  <c:v>8.9458293945312559E-2</c:v>
                </c:pt>
                <c:pt idx="62">
                  <c:v>8.2291397405412303E-2</c:v>
                </c:pt>
                <c:pt idx="63">
                  <c:v>7.6809900680833668E-2</c:v>
                </c:pt>
                <c:pt idx="64">
                  <c:v>5.43379688390166E-2</c:v>
                </c:pt>
                <c:pt idx="65">
                  <c:v>6.629428253125938E-2</c:v>
                </c:pt>
                <c:pt idx="66">
                  <c:v>5.0071861417227657E-2</c:v>
                </c:pt>
                <c:pt idx="67">
                  <c:v>6.9205060411535527E-2</c:v>
                </c:pt>
                <c:pt idx="68">
                  <c:v>5.9392166793113023E-2</c:v>
                </c:pt>
                <c:pt idx="69">
                  <c:v>4.7410384557786518E-2</c:v>
                </c:pt>
                <c:pt idx="70">
                  <c:v>3.5329341317365266E-2</c:v>
                </c:pt>
                <c:pt idx="71">
                  <c:v>3.793103448275862E-2</c:v>
                </c:pt>
                <c:pt idx="72">
                  <c:v>4.7486033519553071E-2</c:v>
                </c:pt>
                <c:pt idx="73">
                  <c:v>4.7093023255813951E-2</c:v>
                </c:pt>
                <c:pt idx="74">
                  <c:v>4.0119760479041915E-2</c:v>
                </c:pt>
                <c:pt idx="75">
                  <c:v>4.189944134078212E-2</c:v>
                </c:pt>
                <c:pt idx="76">
                  <c:v>3.6612021857923498E-2</c:v>
                </c:pt>
                <c:pt idx="77">
                  <c:v>3.130148270181219E-2</c:v>
                </c:pt>
                <c:pt idx="78">
                  <c:v>3.5616438356164383E-2</c:v>
                </c:pt>
                <c:pt idx="79">
                  <c:v>3.8379530916844352E-2</c:v>
                </c:pt>
                <c:pt idx="80">
                  <c:v>3.2203389830508473E-2</c:v>
                </c:pt>
                <c:pt idx="81">
                  <c:v>3.5888077858880776E-2</c:v>
                </c:pt>
                <c:pt idx="82">
                  <c:v>2.8356481481481483E-2</c:v>
                </c:pt>
                <c:pt idx="83">
                  <c:v>3.0821917808219176E-2</c:v>
                </c:pt>
                <c:pt idx="84">
                  <c:v>2.171361502347418E-2</c:v>
                </c:pt>
                <c:pt idx="85">
                  <c:v>2.5252525252525252E-2</c:v>
                </c:pt>
                <c:pt idx="86">
                  <c:v>2.5982256020278833E-2</c:v>
                </c:pt>
                <c:pt idx="87">
                  <c:v>1.8518518518518517E-2</c:v>
                </c:pt>
                <c:pt idx="88">
                  <c:v>2.0227560050568902E-2</c:v>
                </c:pt>
                <c:pt idx="89">
                  <c:v>1.8147684605757195E-2</c:v>
                </c:pt>
                <c:pt idx="90">
                  <c:v>1.5262515262515262E-2</c:v>
                </c:pt>
                <c:pt idx="91">
                  <c:v>1.9028871391076115E-2</c:v>
                </c:pt>
                <c:pt idx="92">
                  <c:v>1.8170019467878003E-2</c:v>
                </c:pt>
                <c:pt idx="93">
                  <c:v>2.25705329153605E-2</c:v>
                </c:pt>
                <c:pt idx="94">
                  <c:v>1.772816808929744E-2</c:v>
                </c:pt>
                <c:pt idx="95">
                  <c:v>2.1470396877033181E-2</c:v>
                </c:pt>
                <c:pt idx="96">
                  <c:v>2.4072869225764477E-2</c:v>
                </c:pt>
                <c:pt idx="97">
                  <c:v>1.4857881136950904E-2</c:v>
                </c:pt>
                <c:pt idx="98">
                  <c:v>1.36275146009085E-2</c:v>
                </c:pt>
                <c:pt idx="99">
                  <c:v>1.1897307451471509E-2</c:v>
                </c:pt>
                <c:pt idx="100">
                  <c:v>1.7964071856287425E-2</c:v>
                </c:pt>
                <c:pt idx="101">
                  <c:v>1.7857142857142856E-2</c:v>
                </c:pt>
                <c:pt idx="102">
                  <c:v>1.7461383478844864E-2</c:v>
                </c:pt>
                <c:pt idx="103">
                  <c:v>1.8505338078291814E-2</c:v>
                </c:pt>
                <c:pt idx="104">
                  <c:v>1.4905149051490514E-2</c:v>
                </c:pt>
                <c:pt idx="105">
                  <c:v>1.0494752623688156E-2</c:v>
                </c:pt>
                <c:pt idx="106">
                  <c:v>5.7096247960848291E-3</c:v>
                </c:pt>
                <c:pt idx="107">
                  <c:v>1.676829268292683E-2</c:v>
                </c:pt>
                <c:pt idx="108">
                  <c:v>1.1547344110854504E-2</c:v>
                </c:pt>
                <c:pt idx="109">
                  <c:v>4.8780487804878049E-3</c:v>
                </c:pt>
                <c:pt idx="110">
                  <c:v>8.7873462214411256E-3</c:v>
                </c:pt>
                <c:pt idx="111">
                  <c:v>1.8001800180018002E-2</c:v>
                </c:pt>
                <c:pt idx="112">
                  <c:v>7.073386383731211E-3</c:v>
                </c:pt>
                <c:pt idx="113">
                  <c:v>9.4991364421416237E-3</c:v>
                </c:pt>
                <c:pt idx="114">
                  <c:v>7.9646017699115043E-3</c:v>
                </c:pt>
                <c:pt idx="115">
                  <c:v>9.5735422106179285E-3</c:v>
                </c:pt>
                <c:pt idx="116">
                  <c:v>9.5155709342560554E-3</c:v>
                </c:pt>
                <c:pt idx="117">
                  <c:v>2.7223230490018148E-3</c:v>
                </c:pt>
                <c:pt idx="118">
                  <c:v>8.6114101184068884E-3</c:v>
                </c:pt>
                <c:pt idx="119">
                  <c:v>6.2047569803516025E-3</c:v>
                </c:pt>
                <c:pt idx="120">
                  <c:v>4.7393364928909956E-3</c:v>
                </c:pt>
                <c:pt idx="121">
                  <c:v>3.5714285714285713E-3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3C1-4E1D-BBED-45CE4FD31050}"/>
            </c:ext>
          </c:extLst>
        </c:ser>
        <c:ser>
          <c:idx val="17"/>
          <c:order val="17"/>
          <c:tx>
            <c:strRef>
              <c:f>'[1]tabla total (MIRAR)'!$A$69</c:f>
              <c:strCache>
                <c:ptCount val="1"/>
                <c:pt idx="0">
                  <c:v>Tacuarembo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(MIRAR)'!$B$69:$DS$69</c:f>
              <c:numCache>
                <c:formatCode>General</c:formatCode>
                <c:ptCount val="122"/>
                <c:pt idx="0">
                  <c:v>8.9506172839506168E-2</c:v>
                </c:pt>
                <c:pt idx="1">
                  <c:v>8.5180055401662055E-2</c:v>
                </c:pt>
                <c:pt idx="2">
                  <c:v>0.11330049261083744</c:v>
                </c:pt>
                <c:pt idx="3">
                  <c:v>0.12046543463381246</c:v>
                </c:pt>
                <c:pt idx="4">
                  <c:v>8.9315525876460772E-2</c:v>
                </c:pt>
                <c:pt idx="5">
                  <c:v>6.7979371776840131E-2</c:v>
                </c:pt>
                <c:pt idx="6">
                  <c:v>8.3925642427556041E-2</c:v>
                </c:pt>
                <c:pt idx="7">
                  <c:v>0.10622950819672131</c:v>
                </c:pt>
                <c:pt idx="8">
                  <c:v>0.10253317249698432</c:v>
                </c:pt>
                <c:pt idx="9">
                  <c:v>0.10960629921259843</c:v>
                </c:pt>
                <c:pt idx="10">
                  <c:v>0.11733684904416612</c:v>
                </c:pt>
                <c:pt idx="11">
                  <c:v>0.14812611540749554</c:v>
                </c:pt>
                <c:pt idx="12">
                  <c:v>0.14378698224852071</c:v>
                </c:pt>
                <c:pt idx="13">
                  <c:v>7.8048780487804878E-2</c:v>
                </c:pt>
                <c:pt idx="14">
                  <c:v>0.10887096774193548</c:v>
                </c:pt>
                <c:pt idx="15">
                  <c:v>0.10151430173864273</c:v>
                </c:pt>
                <c:pt idx="16">
                  <c:v>0.1341317365269461</c:v>
                </c:pt>
                <c:pt idx="17">
                  <c:v>0.12555309734513273</c:v>
                </c:pt>
                <c:pt idx="18">
                  <c:v>0.11446360153256704</c:v>
                </c:pt>
                <c:pt idx="19">
                  <c:v>8.5050184891706293E-2</c:v>
                </c:pt>
                <c:pt idx="20">
                  <c:v>0.1253291205897841</c:v>
                </c:pt>
                <c:pt idx="21">
                  <c:v>0.1275239107332625</c:v>
                </c:pt>
                <c:pt idx="22">
                  <c:v>8.6885245901639346E-2</c:v>
                </c:pt>
                <c:pt idx="23">
                  <c:v>0.10982658959537572</c:v>
                </c:pt>
                <c:pt idx="24">
                  <c:v>9.4069529652351741E-2</c:v>
                </c:pt>
                <c:pt idx="25">
                  <c:v>0.11351909184726522</c:v>
                </c:pt>
                <c:pt idx="26">
                  <c:v>8.133268005879471E-2</c:v>
                </c:pt>
                <c:pt idx="27">
                  <c:v>8.9929994614970379E-2</c:v>
                </c:pt>
                <c:pt idx="28">
                  <c:v>8.908467939304944E-2</c:v>
                </c:pt>
                <c:pt idx="29">
                  <c:v>0.10309777347531461</c:v>
                </c:pt>
                <c:pt idx="30">
                  <c:v>0.10126012601260126</c:v>
                </c:pt>
                <c:pt idx="31">
                  <c:v>9.8812351543942994E-2</c:v>
                </c:pt>
                <c:pt idx="32">
                  <c:v>9.8571428571428574E-2</c:v>
                </c:pt>
                <c:pt idx="33">
                  <c:v>0.10356164383561643</c:v>
                </c:pt>
                <c:pt idx="34">
                  <c:v>0.18921389396709323</c:v>
                </c:pt>
                <c:pt idx="35">
                  <c:v>0.10867293625914315</c:v>
                </c:pt>
                <c:pt idx="36">
                  <c:v>7.9306722689075626E-2</c:v>
                </c:pt>
                <c:pt idx="37">
                  <c:v>0.12241958713394142</c:v>
                </c:pt>
                <c:pt idx="38">
                  <c:v>9.7724922440537751E-2</c:v>
                </c:pt>
                <c:pt idx="39">
                  <c:v>0.10996240601503759</c:v>
                </c:pt>
                <c:pt idx="40">
                  <c:v>9.1165413533834588E-2</c:v>
                </c:pt>
                <c:pt idx="41">
                  <c:v>8.3931777378815076E-2</c:v>
                </c:pt>
                <c:pt idx="42">
                  <c:v>8.5494716618635933E-2</c:v>
                </c:pt>
                <c:pt idx="43">
                  <c:v>0.1037344398340249</c:v>
                </c:pt>
                <c:pt idx="44">
                  <c:v>6.8867155664221677E-2</c:v>
                </c:pt>
                <c:pt idx="45">
                  <c:v>5.6966897613548881E-2</c:v>
                </c:pt>
                <c:pt idx="46">
                  <c:v>5.0527081061432208E-2</c:v>
                </c:pt>
                <c:pt idx="47">
                  <c:v>5.1724137931034482E-2</c:v>
                </c:pt>
                <c:pt idx="48">
                  <c:v>4.4514546091833161E-2</c:v>
                </c:pt>
                <c:pt idx="49">
                  <c:v>3.1824417009602195E-2</c:v>
                </c:pt>
                <c:pt idx="50">
                  <c:v>6.1080262493690057E-2</c:v>
                </c:pt>
                <c:pt idx="51">
                  <c:v>9.4423320659062102E-2</c:v>
                </c:pt>
                <c:pt idx="52">
                  <c:v>7.4519230769230768E-2</c:v>
                </c:pt>
                <c:pt idx="53">
                  <c:v>8.1353919239904982E-2</c:v>
                </c:pt>
                <c:pt idx="54">
                  <c:v>6.7259588660366867E-2</c:v>
                </c:pt>
                <c:pt idx="55">
                  <c:v>7.6848412857859275E-2</c:v>
                </c:pt>
                <c:pt idx="56">
                  <c:v>5.3121578636154063E-2</c:v>
                </c:pt>
                <c:pt idx="57">
                  <c:v>8.0292353167342956E-2</c:v>
                </c:pt>
                <c:pt idx="58">
                  <c:v>7.3474350815118647E-2</c:v>
                </c:pt>
                <c:pt idx="59">
                  <c:v>8.4039771609261182E-2</c:v>
                </c:pt>
                <c:pt idx="60">
                  <c:v>5.8247254699944684E-2</c:v>
                </c:pt>
                <c:pt idx="61">
                  <c:v>5.955536758268197E-2</c:v>
                </c:pt>
                <c:pt idx="62">
                  <c:v>6.9366880507739426E-2</c:v>
                </c:pt>
                <c:pt idx="63">
                  <c:v>5.5594154636435196E-2</c:v>
                </c:pt>
                <c:pt idx="64">
                  <c:v>5.7350208346135814E-2</c:v>
                </c:pt>
                <c:pt idx="65">
                  <c:v>5.5665358289177125E-2</c:v>
                </c:pt>
                <c:pt idx="66">
                  <c:v>5.5925652559427268E-2</c:v>
                </c:pt>
                <c:pt idx="67">
                  <c:v>6.1835022672090505E-2</c:v>
                </c:pt>
                <c:pt idx="68">
                  <c:v>4.8476873028886251E-2</c:v>
                </c:pt>
                <c:pt idx="69">
                  <c:v>4.9482057916805627E-2</c:v>
                </c:pt>
                <c:pt idx="70">
                  <c:v>5.0454545454545453E-2</c:v>
                </c:pt>
                <c:pt idx="71">
                  <c:v>4.4019138755980861E-2</c:v>
                </c:pt>
                <c:pt idx="72">
                  <c:v>5.0724637681159424E-2</c:v>
                </c:pt>
                <c:pt idx="73">
                  <c:v>6.4285714285714279E-2</c:v>
                </c:pt>
                <c:pt idx="74">
                  <c:v>4.0686274509803923E-2</c:v>
                </c:pt>
                <c:pt idx="75">
                  <c:v>5.2558139534883724E-2</c:v>
                </c:pt>
                <c:pt idx="76">
                  <c:v>4.1314553990610327E-2</c:v>
                </c:pt>
                <c:pt idx="77">
                  <c:v>4.3340380549682873E-2</c:v>
                </c:pt>
                <c:pt idx="78">
                  <c:v>3.8360483447188648E-2</c:v>
                </c:pt>
                <c:pt idx="79">
                  <c:v>2.7333677153171736E-2</c:v>
                </c:pt>
                <c:pt idx="80">
                  <c:v>3.411633109619687E-2</c:v>
                </c:pt>
                <c:pt idx="81">
                  <c:v>1.952662721893491E-2</c:v>
                </c:pt>
                <c:pt idx="82">
                  <c:v>2.4067388688327317E-2</c:v>
                </c:pt>
                <c:pt idx="83">
                  <c:v>1.9277108433734941E-2</c:v>
                </c:pt>
                <c:pt idx="84">
                  <c:v>3.215434083601286E-2</c:v>
                </c:pt>
                <c:pt idx="85">
                  <c:v>2.406679764243615E-2</c:v>
                </c:pt>
                <c:pt idx="86">
                  <c:v>2.4590163934426229E-2</c:v>
                </c:pt>
                <c:pt idx="87">
                  <c:v>2.0670391061452513E-2</c:v>
                </c:pt>
                <c:pt idx="88">
                  <c:v>1.7714285714285714E-2</c:v>
                </c:pt>
                <c:pt idx="89">
                  <c:v>2.3630504833512353E-2</c:v>
                </c:pt>
                <c:pt idx="90">
                  <c:v>2.0042194092827006E-2</c:v>
                </c:pt>
                <c:pt idx="91">
                  <c:v>2.4403771491957847E-2</c:v>
                </c:pt>
                <c:pt idx="92">
                  <c:v>1.3625592417061612E-2</c:v>
                </c:pt>
                <c:pt idx="93">
                  <c:v>1.9448946515397084E-2</c:v>
                </c:pt>
                <c:pt idx="94">
                  <c:v>1.4925373134328358E-2</c:v>
                </c:pt>
                <c:pt idx="95">
                  <c:v>1.6296296296296295E-2</c:v>
                </c:pt>
                <c:pt idx="96">
                  <c:v>1.9259259259259261E-2</c:v>
                </c:pt>
                <c:pt idx="97">
                  <c:v>1.7432646592709985E-2</c:v>
                </c:pt>
                <c:pt idx="98">
                  <c:v>1.7983651226158037E-2</c:v>
                </c:pt>
                <c:pt idx="99">
                  <c:v>1.0118043844856661E-2</c:v>
                </c:pt>
                <c:pt idx="100">
                  <c:v>1.6453382084095063E-2</c:v>
                </c:pt>
                <c:pt idx="101">
                  <c:v>1.5634047481181239E-2</c:v>
                </c:pt>
                <c:pt idx="102">
                  <c:v>1.4634146341463415E-2</c:v>
                </c:pt>
                <c:pt idx="103">
                  <c:v>1.1472275334608031E-2</c:v>
                </c:pt>
                <c:pt idx="104">
                  <c:v>1.0902483343428226E-2</c:v>
                </c:pt>
                <c:pt idx="105">
                  <c:v>7.3475385745775165E-3</c:v>
                </c:pt>
                <c:pt idx="106">
                  <c:v>9.11854103343465E-3</c:v>
                </c:pt>
                <c:pt idx="107">
                  <c:v>7.7519379844961239E-3</c:v>
                </c:pt>
                <c:pt idx="108">
                  <c:v>7.1581961345740875E-3</c:v>
                </c:pt>
                <c:pt idx="109">
                  <c:v>8.8170462894930201E-3</c:v>
                </c:pt>
                <c:pt idx="110">
                  <c:v>6.2063615205585725E-3</c:v>
                </c:pt>
                <c:pt idx="111">
                  <c:v>1.4251781472684086E-2</c:v>
                </c:pt>
                <c:pt idx="112">
                  <c:v>7.4515648286140089E-3</c:v>
                </c:pt>
                <c:pt idx="113">
                  <c:v>7.656967840735069E-3</c:v>
                </c:pt>
                <c:pt idx="114">
                  <c:v>9.324009324009324E-3</c:v>
                </c:pt>
                <c:pt idx="115">
                  <c:v>8.658008658008658E-3</c:v>
                </c:pt>
                <c:pt idx="116">
                  <c:v>8.778346744696415E-3</c:v>
                </c:pt>
                <c:pt idx="117">
                  <c:v>9.7481722177091799E-3</c:v>
                </c:pt>
                <c:pt idx="118">
                  <c:v>6.9686411149825784E-3</c:v>
                </c:pt>
                <c:pt idx="119">
                  <c:v>6.3810391978122152E-3</c:v>
                </c:pt>
                <c:pt idx="120">
                  <c:v>7.3597056117755289E-3</c:v>
                </c:pt>
                <c:pt idx="121">
                  <c:v>1.0367577756833177E-2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3C1-4E1D-BBED-45CE4FD31050}"/>
            </c:ext>
          </c:extLst>
        </c:ser>
        <c:ser>
          <c:idx val="18"/>
          <c:order val="18"/>
          <c:tx>
            <c:strRef>
              <c:f>'[1]tabla total (MIRAR)'!$A$70</c:f>
              <c:strCache>
                <c:ptCount val="1"/>
                <c:pt idx="0">
                  <c:v>Treinta y Tres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'[1]tabla total (MIRAR)'!$B$25:$DS$25</c:f>
              <c:numCache>
                <c:formatCode>General</c:formatCode>
                <c:ptCount val="122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</c:numCache>
            </c:numRef>
          </c:cat>
          <c:val>
            <c:numRef>
              <c:f>'[1]tabla total (MIRAR)'!$B$70:$DS$70</c:f>
              <c:numCache>
                <c:formatCode>General</c:formatCode>
                <c:ptCount val="122"/>
                <c:pt idx="0">
                  <c:v>0.10478359908883828</c:v>
                </c:pt>
                <c:pt idx="1">
                  <c:v>4.8979591836734691E-2</c:v>
                </c:pt>
                <c:pt idx="2">
                  <c:v>8.4937712344280866E-2</c:v>
                </c:pt>
                <c:pt idx="3">
                  <c:v>7.6856649395509499E-2</c:v>
                </c:pt>
                <c:pt idx="4">
                  <c:v>6.9162995594713658E-2</c:v>
                </c:pt>
                <c:pt idx="5">
                  <c:v>6.1151079136690649E-2</c:v>
                </c:pt>
                <c:pt idx="6">
                  <c:v>6.6822429906542052E-2</c:v>
                </c:pt>
                <c:pt idx="7">
                  <c:v>7.2957198443579771E-2</c:v>
                </c:pt>
                <c:pt idx="8">
                  <c:v>8.0074487895716945E-2</c:v>
                </c:pt>
                <c:pt idx="9">
                  <c:v>8.3293441838200102E-2</c:v>
                </c:pt>
                <c:pt idx="10">
                  <c:v>8.6699507389162558E-2</c:v>
                </c:pt>
                <c:pt idx="11">
                  <c:v>6.1309030654515324E-2</c:v>
                </c:pt>
                <c:pt idx="12">
                  <c:v>8.1118881118881117E-2</c:v>
                </c:pt>
                <c:pt idx="13">
                  <c:v>7.4130105900151289E-2</c:v>
                </c:pt>
                <c:pt idx="14">
                  <c:v>8.1699346405228759E-2</c:v>
                </c:pt>
                <c:pt idx="15">
                  <c:v>8.6486486486486491E-2</c:v>
                </c:pt>
                <c:pt idx="16">
                  <c:v>0.12113617376775271</c:v>
                </c:pt>
                <c:pt idx="17">
                  <c:v>0.11906677393403058</c:v>
                </c:pt>
                <c:pt idx="18">
                  <c:v>7.792207792207792E-2</c:v>
                </c:pt>
                <c:pt idx="19">
                  <c:v>8.8193456614509252E-2</c:v>
                </c:pt>
                <c:pt idx="20">
                  <c:v>0.11837048424289008</c:v>
                </c:pt>
                <c:pt idx="21">
                  <c:v>0.11215686274509803</c:v>
                </c:pt>
                <c:pt idx="22">
                  <c:v>7.3170731707317069E-2</c:v>
                </c:pt>
                <c:pt idx="23">
                  <c:v>0.11228334589299171</c:v>
                </c:pt>
                <c:pt idx="24">
                  <c:v>0.13423831070889894</c:v>
                </c:pt>
                <c:pt idx="25">
                  <c:v>0.14058956916099774</c:v>
                </c:pt>
                <c:pt idx="26">
                  <c:v>8.9494163424124515E-2</c:v>
                </c:pt>
                <c:pt idx="27">
                  <c:v>9.1059602649006616E-2</c:v>
                </c:pt>
                <c:pt idx="28">
                  <c:v>0.11980830670926518</c:v>
                </c:pt>
                <c:pt idx="29">
                  <c:v>0.11407160699417153</c:v>
                </c:pt>
                <c:pt idx="30">
                  <c:v>0.10833333333333334</c:v>
                </c:pt>
                <c:pt idx="31">
                  <c:v>0.1285475792988314</c:v>
                </c:pt>
                <c:pt idx="32">
                  <c:v>0.12489379779099405</c:v>
                </c:pt>
                <c:pt idx="33">
                  <c:v>8.6599817684594349E-2</c:v>
                </c:pt>
                <c:pt idx="34">
                  <c:v>0.11234042553191489</c:v>
                </c:pt>
                <c:pt idx="35">
                  <c:v>0.13854489164086686</c:v>
                </c:pt>
                <c:pt idx="36">
                  <c:v>0.10775510204081633</c:v>
                </c:pt>
                <c:pt idx="37">
                  <c:v>9.7802976612331685E-2</c:v>
                </c:pt>
                <c:pt idx="38">
                  <c:v>8.9036055923473148E-2</c:v>
                </c:pt>
                <c:pt idx="39">
                  <c:v>0.11806043569922699</c:v>
                </c:pt>
                <c:pt idx="40">
                  <c:v>9.7885669537979642E-2</c:v>
                </c:pt>
                <c:pt idx="41">
                  <c:v>7.4051026757934041E-2</c:v>
                </c:pt>
                <c:pt idx="42">
                  <c:v>0.13730355665839536</c:v>
                </c:pt>
                <c:pt idx="43">
                  <c:v>0.10030864197530864</c:v>
                </c:pt>
                <c:pt idx="44">
                  <c:v>5.9187887130075709E-2</c:v>
                </c:pt>
                <c:pt idx="45">
                  <c:v>6.5737051792828682E-2</c:v>
                </c:pt>
                <c:pt idx="46">
                  <c:v>5.6485355648535567E-2</c:v>
                </c:pt>
                <c:pt idx="47">
                  <c:v>3.3576642335766425E-2</c:v>
                </c:pt>
                <c:pt idx="48">
                  <c:v>4.8908954100827691E-2</c:v>
                </c:pt>
                <c:pt idx="49">
                  <c:v>2.8620492272467088E-2</c:v>
                </c:pt>
                <c:pt idx="50">
                  <c:v>7.6666666666666661E-2</c:v>
                </c:pt>
                <c:pt idx="51">
                  <c:v>8.00561797752809E-2</c:v>
                </c:pt>
                <c:pt idx="52">
                  <c:v>7.8313253012048195E-2</c:v>
                </c:pt>
                <c:pt idx="53">
                  <c:v>6.1583577712609971E-2</c:v>
                </c:pt>
                <c:pt idx="54">
                  <c:v>0.1069364161849711</c:v>
                </c:pt>
                <c:pt idx="55">
                  <c:v>7.9234683968850361E-2</c:v>
                </c:pt>
                <c:pt idx="56">
                  <c:v>6.7882336240646352E-2</c:v>
                </c:pt>
                <c:pt idx="57">
                  <c:v>7.8672344309850942E-2</c:v>
                </c:pt>
                <c:pt idx="58">
                  <c:v>8.632584780320611E-2</c:v>
                </c:pt>
                <c:pt idx="59">
                  <c:v>7.6720761486802583E-2</c:v>
                </c:pt>
                <c:pt idx="60">
                  <c:v>6.8752429662923512E-2</c:v>
                </c:pt>
                <c:pt idx="61">
                  <c:v>5.1110666560072383E-2</c:v>
                </c:pt>
                <c:pt idx="62">
                  <c:v>3.9058095589249331E-2</c:v>
                </c:pt>
                <c:pt idx="63">
                  <c:v>5.8558583546750254E-2</c:v>
                </c:pt>
                <c:pt idx="64">
                  <c:v>6.3186113095293248E-2</c:v>
                </c:pt>
                <c:pt idx="65">
                  <c:v>6.9886149543177303E-2</c:v>
                </c:pt>
                <c:pt idx="66">
                  <c:v>4.374810871878497E-2</c:v>
                </c:pt>
                <c:pt idx="67">
                  <c:v>7.907889090491016E-2</c:v>
                </c:pt>
                <c:pt idx="68">
                  <c:v>0.10538712243851858</c:v>
                </c:pt>
                <c:pt idx="69">
                  <c:v>7.686307029081306E-2</c:v>
                </c:pt>
                <c:pt idx="70">
                  <c:v>4.9484536082474224E-2</c:v>
                </c:pt>
                <c:pt idx="71">
                  <c:v>5.6862745098039215E-2</c:v>
                </c:pt>
                <c:pt idx="72">
                  <c:v>5.5913978494623658E-2</c:v>
                </c:pt>
                <c:pt idx="73">
                  <c:v>4.1176470588235294E-2</c:v>
                </c:pt>
                <c:pt idx="74">
                  <c:v>5.0515463917525774E-2</c:v>
                </c:pt>
                <c:pt idx="75">
                  <c:v>5.1818181818181819E-2</c:v>
                </c:pt>
                <c:pt idx="76">
                  <c:v>6.3725490196078427E-2</c:v>
                </c:pt>
                <c:pt idx="77">
                  <c:v>4.8371174728529122E-2</c:v>
                </c:pt>
                <c:pt idx="78">
                  <c:v>4.6666666666666669E-2</c:v>
                </c:pt>
                <c:pt idx="79">
                  <c:v>3.0235162374020158E-2</c:v>
                </c:pt>
                <c:pt idx="80">
                  <c:v>3.8209606986899562E-2</c:v>
                </c:pt>
                <c:pt idx="81">
                  <c:v>0.04</c:v>
                </c:pt>
                <c:pt idx="82">
                  <c:v>2.5179856115107913E-2</c:v>
                </c:pt>
                <c:pt idx="83">
                  <c:v>3.2359081419624215E-2</c:v>
                </c:pt>
                <c:pt idx="84">
                  <c:v>3.3333333333333333E-2</c:v>
                </c:pt>
                <c:pt idx="85">
                  <c:v>2.6315789473684209E-2</c:v>
                </c:pt>
                <c:pt idx="86">
                  <c:v>3.4090909090909088E-2</c:v>
                </c:pt>
                <c:pt idx="87">
                  <c:v>2.1634615384615384E-2</c:v>
                </c:pt>
                <c:pt idx="88">
                  <c:v>1.6355140186915886E-2</c:v>
                </c:pt>
                <c:pt idx="89">
                  <c:v>1.3274336283185841E-2</c:v>
                </c:pt>
                <c:pt idx="90">
                  <c:v>1.9428571428571427E-2</c:v>
                </c:pt>
                <c:pt idx="91">
                  <c:v>1.5670910871694418E-2</c:v>
                </c:pt>
                <c:pt idx="92">
                  <c:v>1.4176663031624863E-2</c:v>
                </c:pt>
                <c:pt idx="93">
                  <c:v>2.1890547263681594E-2</c:v>
                </c:pt>
                <c:pt idx="94">
                  <c:v>2.5667351129363448E-2</c:v>
                </c:pt>
                <c:pt idx="95">
                  <c:v>1.6359918200408999E-2</c:v>
                </c:pt>
                <c:pt idx="96">
                  <c:v>1.6359918200408999E-2</c:v>
                </c:pt>
                <c:pt idx="97">
                  <c:v>1.3118062563067608E-2</c:v>
                </c:pt>
                <c:pt idx="98">
                  <c:v>1.3348164627363738E-2</c:v>
                </c:pt>
                <c:pt idx="99">
                  <c:v>1.6166281755196306E-2</c:v>
                </c:pt>
                <c:pt idx="100">
                  <c:v>1.5276145710928319E-2</c:v>
                </c:pt>
                <c:pt idx="101">
                  <c:v>2.056555269922879E-2</c:v>
                </c:pt>
                <c:pt idx="102">
                  <c:v>1.7879948914431672E-2</c:v>
                </c:pt>
                <c:pt idx="103">
                  <c:v>2.0718232044198894E-2</c:v>
                </c:pt>
                <c:pt idx="104">
                  <c:v>1.6506189821182942E-2</c:v>
                </c:pt>
                <c:pt idx="105">
                  <c:v>1.6320474777448073E-2</c:v>
                </c:pt>
                <c:pt idx="106">
                  <c:v>2.8286189683860232E-2</c:v>
                </c:pt>
                <c:pt idx="107">
                  <c:v>9.3603744149765994E-3</c:v>
                </c:pt>
                <c:pt idx="108">
                  <c:v>1.386748844375963E-2</c:v>
                </c:pt>
                <c:pt idx="109">
                  <c:v>5.9084194977843431E-3</c:v>
                </c:pt>
                <c:pt idx="110">
                  <c:v>4.5045045045045045E-3</c:v>
                </c:pt>
                <c:pt idx="111">
                  <c:v>4.3541364296081275E-3</c:v>
                </c:pt>
                <c:pt idx="112">
                  <c:v>7.1839080459770114E-3</c:v>
                </c:pt>
                <c:pt idx="113">
                  <c:v>1.2195121951219513E-2</c:v>
                </c:pt>
                <c:pt idx="114">
                  <c:v>9.5238095238095247E-3</c:v>
                </c:pt>
                <c:pt idx="115">
                  <c:v>7.8864353312302835E-3</c:v>
                </c:pt>
                <c:pt idx="116">
                  <c:v>6.5573770491803279E-3</c:v>
                </c:pt>
                <c:pt idx="117">
                  <c:v>5.2539404553415062E-3</c:v>
                </c:pt>
                <c:pt idx="118">
                  <c:v>1.4134275618374558E-2</c:v>
                </c:pt>
                <c:pt idx="119">
                  <c:v>2.012072434607646E-3</c:v>
                </c:pt>
                <c:pt idx="120">
                  <c:v>7.677543186180422E-3</c:v>
                </c:pt>
                <c:pt idx="121">
                  <c:v>1.020408163265306E-2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3C1-4E1D-BBED-45CE4FD31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241231"/>
        <c:axId val="405243311"/>
      </c:lineChart>
      <c:catAx>
        <c:axId val="40524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405243311"/>
        <c:crosses val="autoZero"/>
        <c:auto val="1"/>
        <c:lblAlgn val="ctr"/>
        <c:lblOffset val="100"/>
        <c:noMultiLvlLbl val="0"/>
      </c:catAx>
      <c:valAx>
        <c:axId val="4052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40524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695200</xdr:colOff>
      <xdr:row>36</xdr:row>
      <xdr:rowOff>0</xdr:rowOff>
    </xdr:from>
    <xdr:to>
      <xdr:col>141</xdr:col>
      <xdr:colOff>599949</xdr:colOff>
      <xdr:row>73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celo.dianessi/Dropbox/DETE%20(CSICi+d2020)/Datos/Mortalidad%20infantil/mortalidad%20infantil%20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total (MIRAR)"/>
      <sheetName val="Tasa de Descuento"/>
      <sheetName val="tabla total (datos finales msp)"/>
      <sheetName val="tabla total"/>
      <sheetName val="prueba"/>
      <sheetName val="Hoja1"/>
      <sheetName val="Hoja2"/>
      <sheetName val="Hoja3"/>
      <sheetName val="idere"/>
      <sheetName val="Hoja5"/>
      <sheetName val="Hoja4"/>
    </sheetNames>
    <sheetDataSet>
      <sheetData sheetId="0">
        <row r="25">
          <cell r="B25">
            <v>1900</v>
          </cell>
          <cell r="C25">
            <v>1901</v>
          </cell>
          <cell r="D25">
            <v>1902</v>
          </cell>
          <cell r="E25">
            <v>1903</v>
          </cell>
          <cell r="F25">
            <v>1904</v>
          </cell>
          <cell r="G25">
            <v>1905</v>
          </cell>
          <cell r="H25">
            <v>1906</v>
          </cell>
          <cell r="I25">
            <v>1907</v>
          </cell>
          <cell r="J25">
            <v>1908</v>
          </cell>
          <cell r="K25">
            <v>1909</v>
          </cell>
          <cell r="L25">
            <v>1910</v>
          </cell>
          <cell r="M25">
            <v>1911</v>
          </cell>
          <cell r="N25">
            <v>1912</v>
          </cell>
          <cell r="O25">
            <v>1913</v>
          </cell>
          <cell r="P25">
            <v>1914</v>
          </cell>
          <cell r="Q25">
            <v>1915</v>
          </cell>
          <cell r="R25">
            <v>1916</v>
          </cell>
          <cell r="S25">
            <v>1917</v>
          </cell>
          <cell r="T25">
            <v>1918</v>
          </cell>
          <cell r="U25">
            <v>1919</v>
          </cell>
          <cell r="V25">
            <v>1920</v>
          </cell>
          <cell r="W25">
            <v>1921</v>
          </cell>
          <cell r="X25">
            <v>1922</v>
          </cell>
          <cell r="Y25">
            <v>1923</v>
          </cell>
          <cell r="Z25">
            <v>1924</v>
          </cell>
          <cell r="AA25">
            <v>1925</v>
          </cell>
          <cell r="AB25">
            <v>1926</v>
          </cell>
          <cell r="AC25">
            <v>1927</v>
          </cell>
          <cell r="AD25">
            <v>1928</v>
          </cell>
          <cell r="AE25">
            <v>1929</v>
          </cell>
          <cell r="AF25">
            <v>1930</v>
          </cell>
          <cell r="AG25">
            <v>1931</v>
          </cell>
          <cell r="AH25">
            <v>1932</v>
          </cell>
          <cell r="AI25">
            <v>1933</v>
          </cell>
          <cell r="AJ25">
            <v>1934</v>
          </cell>
          <cell r="AK25">
            <v>1935</v>
          </cell>
          <cell r="AL25">
            <v>1936</v>
          </cell>
          <cell r="AM25">
            <v>1937</v>
          </cell>
          <cell r="AN25">
            <v>1938</v>
          </cell>
          <cell r="AO25">
            <v>1939</v>
          </cell>
          <cell r="AP25">
            <v>1940</v>
          </cell>
          <cell r="AQ25">
            <v>1941</v>
          </cell>
          <cell r="AR25">
            <v>1942</v>
          </cell>
          <cell r="AS25">
            <v>1943</v>
          </cell>
          <cell r="AT25">
            <v>1944</v>
          </cell>
          <cell r="AU25">
            <v>1945</v>
          </cell>
          <cell r="AV25">
            <v>1946</v>
          </cell>
          <cell r="AW25">
            <v>1947</v>
          </cell>
          <cell r="AX25">
            <v>1948</v>
          </cell>
          <cell r="AY25">
            <v>1949</v>
          </cell>
          <cell r="AZ25">
            <v>1950</v>
          </cell>
          <cell r="BA25">
            <v>1951</v>
          </cell>
          <cell r="BB25">
            <v>1952</v>
          </cell>
          <cell r="BC25">
            <v>1953</v>
          </cell>
          <cell r="BD25">
            <v>1954</v>
          </cell>
          <cell r="BE25">
            <v>1955</v>
          </cell>
          <cell r="BF25">
            <v>1956</v>
          </cell>
          <cell r="BG25">
            <v>1957</v>
          </cell>
          <cell r="BH25">
            <v>1958</v>
          </cell>
          <cell r="BI25">
            <v>1959</v>
          </cell>
          <cell r="BJ25">
            <v>1960</v>
          </cell>
          <cell r="BK25">
            <v>1961</v>
          </cell>
          <cell r="BL25">
            <v>1962</v>
          </cell>
          <cell r="BM25">
            <v>1963</v>
          </cell>
          <cell r="BN25">
            <v>1964</v>
          </cell>
          <cell r="BO25">
            <v>1965</v>
          </cell>
          <cell r="BP25">
            <v>1966</v>
          </cell>
          <cell r="BQ25">
            <v>1967</v>
          </cell>
          <cell r="BR25">
            <v>1968</v>
          </cell>
          <cell r="BS25">
            <v>1969</v>
          </cell>
          <cell r="BT25">
            <v>1970</v>
          </cell>
          <cell r="BU25">
            <v>1971</v>
          </cell>
          <cell r="BV25">
            <v>1972</v>
          </cell>
          <cell r="BW25">
            <v>1973</v>
          </cell>
          <cell r="BX25">
            <v>1974</v>
          </cell>
          <cell r="BY25">
            <v>1975</v>
          </cell>
          <cell r="BZ25">
            <v>1976</v>
          </cell>
          <cell r="CA25">
            <v>1977</v>
          </cell>
          <cell r="CB25">
            <v>1978</v>
          </cell>
          <cell r="CC25">
            <v>1979</v>
          </cell>
          <cell r="CD25">
            <v>1980</v>
          </cell>
          <cell r="CE25">
            <v>1981</v>
          </cell>
          <cell r="CF25">
            <v>1982</v>
          </cell>
          <cell r="CG25">
            <v>1983</v>
          </cell>
          <cell r="CH25">
            <v>1984</v>
          </cell>
          <cell r="CI25">
            <v>1985</v>
          </cell>
          <cell r="CJ25">
            <v>1986</v>
          </cell>
          <cell r="CK25">
            <v>1987</v>
          </cell>
          <cell r="CL25">
            <v>1988</v>
          </cell>
          <cell r="CM25">
            <v>1989</v>
          </cell>
          <cell r="CN25">
            <v>1990</v>
          </cell>
          <cell r="CO25">
            <v>1991</v>
          </cell>
          <cell r="CP25">
            <v>1992</v>
          </cell>
          <cell r="CQ25">
            <v>1993</v>
          </cell>
          <cell r="CR25">
            <v>1994</v>
          </cell>
          <cell r="CS25">
            <v>1995</v>
          </cell>
          <cell r="CT25">
            <v>1996</v>
          </cell>
          <cell r="CU25">
            <v>1997</v>
          </cell>
          <cell r="CV25">
            <v>1998</v>
          </cell>
          <cell r="CW25">
            <v>1999</v>
          </cell>
          <cell r="CX25">
            <v>2000</v>
          </cell>
          <cell r="CY25">
            <v>2001</v>
          </cell>
          <cell r="CZ25">
            <v>2002</v>
          </cell>
          <cell r="DA25">
            <v>2003</v>
          </cell>
          <cell r="DB25">
            <v>2004</v>
          </cell>
          <cell r="DC25">
            <v>2005</v>
          </cell>
          <cell r="DD25">
            <v>2006</v>
          </cell>
          <cell r="DE25">
            <v>2007</v>
          </cell>
          <cell r="DF25">
            <v>2008</v>
          </cell>
          <cell r="DG25">
            <v>2009</v>
          </cell>
          <cell r="DH25">
            <v>2010</v>
          </cell>
          <cell r="DI25">
            <v>2011</v>
          </cell>
          <cell r="DJ25">
            <v>2012</v>
          </cell>
          <cell r="DK25">
            <v>2013</v>
          </cell>
          <cell r="DL25">
            <v>2014</v>
          </cell>
          <cell r="DM25">
            <v>2015</v>
          </cell>
          <cell r="DN25">
            <v>2016</v>
          </cell>
          <cell r="DO25">
            <v>2017</v>
          </cell>
          <cell r="DP25">
            <v>2018</v>
          </cell>
          <cell r="DQ25">
            <v>2019</v>
          </cell>
          <cell r="DR25">
            <v>2020</v>
          </cell>
          <cell r="DS25">
            <v>2021</v>
          </cell>
        </row>
        <row r="52">
          <cell r="A52" t="str">
            <v>Montevideo</v>
          </cell>
          <cell r="B52">
            <v>0.1132880181260829</v>
          </cell>
          <cell r="C52">
            <v>0.12308282208588957</v>
          </cell>
          <cell r="D52">
            <v>0.11884094970640796</v>
          </cell>
          <cell r="E52">
            <v>0.11943069306930693</v>
          </cell>
          <cell r="F52">
            <v>0.10836658433086326</v>
          </cell>
          <cell r="G52">
            <v>9.677000908029576E-2</v>
          </cell>
          <cell r="H52">
            <v>0.10164954870837224</v>
          </cell>
          <cell r="I52">
            <v>0.10615126854954524</v>
          </cell>
          <cell r="J52">
            <v>9.7856899875269299E-2</v>
          </cell>
          <cell r="K52">
            <v>0.11264681780934171</v>
          </cell>
          <cell r="L52">
            <v>0.12639679527725067</v>
          </cell>
          <cell r="M52">
            <v>0.11665309446254071</v>
          </cell>
          <cell r="N52">
            <v>0.13782465917006667</v>
          </cell>
          <cell r="O52">
            <v>0.1169641143734408</v>
          </cell>
          <cell r="P52">
            <v>0.11054472763618191</v>
          </cell>
          <cell r="Q52">
            <v>0.14769874476987449</v>
          </cell>
          <cell r="R52">
            <v>0.11083875093253757</v>
          </cell>
          <cell r="S52">
            <v>0.10839428010042572</v>
          </cell>
          <cell r="T52">
            <v>0.11333469471104758</v>
          </cell>
          <cell r="U52">
            <v>0.11891620672353237</v>
          </cell>
          <cell r="V52">
            <v>0.13545514824287203</v>
          </cell>
          <cell r="W52">
            <v>9.8489761882701754E-2</v>
          </cell>
          <cell r="X52">
            <v>0.11142604074402125</v>
          </cell>
          <cell r="Y52">
            <v>0.11627499123114697</v>
          </cell>
          <cell r="Z52">
            <v>0.12746234067207415</v>
          </cell>
          <cell r="AA52">
            <v>0.1118216101000164</v>
          </cell>
          <cell r="AB52">
            <v>0.10991312441824387</v>
          </cell>
          <cell r="AC52">
            <v>0.12426666666666666</v>
          </cell>
          <cell r="AD52">
            <v>0.10018070112034695</v>
          </cell>
          <cell r="AE52">
            <v>9.5098179733409768E-2</v>
          </cell>
          <cell r="AF52">
            <v>0.11192130425810003</v>
          </cell>
          <cell r="AG52">
            <v>0.12981073664954618</v>
          </cell>
          <cell r="AH52">
            <v>0.11044880785413745</v>
          </cell>
          <cell r="AI52">
            <v>9.6059113300492605E-2</v>
          </cell>
          <cell r="AJ52">
            <v>9.3120870579090562E-2</v>
          </cell>
          <cell r="AK52">
            <v>0.10550968561448079</v>
          </cell>
          <cell r="AL52">
            <v>8.7448318901630392E-2</v>
          </cell>
          <cell r="AM52">
            <v>9.7779509154655234E-2</v>
          </cell>
          <cell r="AN52">
            <v>0.10030728709394206</v>
          </cell>
          <cell r="AO52">
            <v>8.1023454157782518E-2</v>
          </cell>
          <cell r="AP52">
            <v>8.6856904811497604E-2</v>
          </cell>
          <cell r="AQ52">
            <v>8.0515739661202929E-2</v>
          </cell>
          <cell r="AR52">
            <v>8.4310069259456583E-2</v>
          </cell>
          <cell r="AS52">
            <v>6.6153062523876219E-2</v>
          </cell>
          <cell r="AT52">
            <v>6.1251005382664106E-2</v>
          </cell>
          <cell r="AU52">
            <v>5.005988023952096E-2</v>
          </cell>
          <cell r="AV52">
            <v>4.8676748582230624E-2</v>
          </cell>
          <cell r="AW52">
            <v>7.5531367213355891E-2</v>
          </cell>
          <cell r="AX52">
            <v>6.570330296127562E-2</v>
          </cell>
          <cell r="AY52">
            <v>5.2314138784839058E-2</v>
          </cell>
          <cell r="AZ52">
            <v>6.0077299079231559E-2</v>
          </cell>
          <cell r="BA52">
            <v>7.0839908819919334E-2</v>
          </cell>
          <cell r="BB52">
            <v>5.876239206907579E-2</v>
          </cell>
          <cell r="BC52">
            <v>4.7497683039851711E-2</v>
          </cell>
          <cell r="BD52">
            <v>4.5813695591904631E-2</v>
          </cell>
          <cell r="BE52">
            <v>3.8245832290509311E-2</v>
          </cell>
          <cell r="BF52">
            <v>3.4981306440223084E-2</v>
          </cell>
          <cell r="BG52">
            <v>4.2582274089304477E-2</v>
          </cell>
          <cell r="BH52">
            <v>5.4100699934410974E-2</v>
          </cell>
          <cell r="BI52">
            <v>5.6956671807479202E-2</v>
          </cell>
          <cell r="BJ52">
            <v>4.9041527714610268E-2</v>
          </cell>
          <cell r="BK52">
            <v>4.6129391557863719E-2</v>
          </cell>
          <cell r="BL52">
            <v>4.7631746718396428E-2</v>
          </cell>
          <cell r="BM52">
            <v>5.0794637513457912E-2</v>
          </cell>
          <cell r="BN52">
            <v>5.5489620069653071E-2</v>
          </cell>
          <cell r="BO52">
            <v>5.5146964544503449E-2</v>
          </cell>
          <cell r="BP52">
            <v>4.5229622415351882E-2</v>
          </cell>
          <cell r="BQ52">
            <v>5.421037426374932E-2</v>
          </cell>
          <cell r="BR52">
            <v>5.9312057944599289E-2</v>
          </cell>
          <cell r="BS52">
            <v>5.4723151146953718E-2</v>
          </cell>
          <cell r="BT52">
            <v>5.032704886494805E-2</v>
          </cell>
          <cell r="BU52">
            <v>4.4938820912124582E-2</v>
          </cell>
          <cell r="BV52">
            <v>4.4825581395348833E-2</v>
          </cell>
          <cell r="BW52">
            <v>4.1851311953352767E-2</v>
          </cell>
          <cell r="BX52">
            <v>4.3181818181818182E-2</v>
          </cell>
          <cell r="BY52">
            <v>4.6259541984732824E-2</v>
          </cell>
          <cell r="BZ52">
            <v>4.3003842123646517E-2</v>
          </cell>
          <cell r="CA52">
            <v>4.9284253578732104E-2</v>
          </cell>
          <cell r="CB52">
            <v>4.4212285833681572E-2</v>
          </cell>
          <cell r="CC52">
            <v>3.6263970954652239E-2</v>
          </cell>
          <cell r="CD52">
            <v>3.6433993153743113E-2</v>
          </cell>
          <cell r="CE52">
            <v>3.2594582493843741E-2</v>
          </cell>
          <cell r="CF52">
            <v>2.9837933841485975E-2</v>
          </cell>
          <cell r="CG52">
            <v>2.6172300981461283E-2</v>
          </cell>
          <cell r="CH52">
            <v>3.259658246656761E-2</v>
          </cell>
          <cell r="CI52">
            <v>2.9664541169947326E-2</v>
          </cell>
          <cell r="CJ52">
            <v>2.7152970696298951E-2</v>
          </cell>
          <cell r="CK52">
            <v>2.3973521781912515E-2</v>
          </cell>
          <cell r="CL52">
            <v>2.0609318996415771E-2</v>
          </cell>
          <cell r="CM52">
            <v>2.0987328405491026E-2</v>
          </cell>
          <cell r="CN52">
            <v>2.0326428663709574E-2</v>
          </cell>
          <cell r="CO52">
            <v>2.0957812782907839E-2</v>
          </cell>
          <cell r="CP52">
            <v>1.9673523306284205E-2</v>
          </cell>
          <cell r="CQ52">
            <v>2.1268550902731827E-2</v>
          </cell>
          <cell r="CR52">
            <v>1.9758351101634684E-2</v>
          </cell>
          <cell r="CS52">
            <v>1.9951271089045187E-2</v>
          </cell>
          <cell r="CT52">
            <v>1.7330942858456305E-2</v>
          </cell>
          <cell r="CU52">
            <v>1.8270923538088214E-2</v>
          </cell>
          <cell r="CV52">
            <v>1.7313490905553935E-2</v>
          </cell>
          <cell r="CW52">
            <v>1.5241617110589176E-2</v>
          </cell>
          <cell r="CX52">
            <v>1.4614838120369431E-2</v>
          </cell>
          <cell r="CY52">
            <v>1.5261369974141865E-2</v>
          </cell>
          <cell r="CZ52">
            <v>1.2728840204878543E-2</v>
          </cell>
          <cell r="DA52">
            <v>1.5016743407283381E-2</v>
          </cell>
          <cell r="DB52">
            <v>1.346349836399721E-2</v>
          </cell>
          <cell r="DC52">
            <v>1.254746574211656E-2</v>
          </cell>
          <cell r="DD52">
            <v>1.0839669956317749E-2</v>
          </cell>
          <cell r="DE52">
            <v>1.2633413199738619E-2</v>
          </cell>
          <cell r="DF52">
            <v>1.0234077299945563E-2</v>
          </cell>
          <cell r="DG52">
            <v>9.3990010204629687E-3</v>
          </cell>
          <cell r="DH52">
            <v>7.6387798880343223E-3</v>
          </cell>
          <cell r="DI52">
            <v>8.0788074637756693E-3</v>
          </cell>
          <cell r="DJ52">
            <v>6.1053167133045027E-3</v>
          </cell>
          <cell r="DK52">
            <v>8.334170097399337E-3</v>
          </cell>
          <cell r="DL52">
            <v>7.2289156626506026E-3</v>
          </cell>
          <cell r="DM52">
            <v>7.3591989987484355E-3</v>
          </cell>
          <cell r="DN52">
            <v>7.4388391220074389E-3</v>
          </cell>
          <cell r="DO52">
            <v>6.9261591299370345E-3</v>
          </cell>
          <cell r="DP52">
            <v>6.6303871895915427E-3</v>
          </cell>
          <cell r="DQ52">
            <v>6.7767042404723562E-3</v>
          </cell>
          <cell r="DR52">
            <v>6.2455642299503195E-3</v>
          </cell>
          <cell r="DS52">
            <v>5.6118358720209901E-3</v>
          </cell>
        </row>
        <row r="53">
          <cell r="A53" t="str">
            <v>Artigas</v>
          </cell>
          <cell r="B53">
            <v>0.1295215869311552</v>
          </cell>
          <cell r="C53">
            <v>0.13058035714285715</v>
          </cell>
          <cell r="D53">
            <v>0.19101123595505617</v>
          </cell>
          <cell r="E53">
            <v>0.14319809069212411</v>
          </cell>
          <cell r="F53">
            <v>0.11708683473389356</v>
          </cell>
          <cell r="G53">
            <v>9.398099260823653E-2</v>
          </cell>
          <cell r="H53">
            <v>0.12778684067427951</v>
          </cell>
          <cell r="I53">
            <v>0.16367713004484305</v>
          </cell>
          <cell r="J53">
            <v>0.14195583596214512</v>
          </cell>
          <cell r="K53">
            <v>0.15107161526398327</v>
          </cell>
          <cell r="L53">
            <v>0.16008316008316009</v>
          </cell>
          <cell r="M53">
            <v>0.16649949849548645</v>
          </cell>
          <cell r="N53">
            <v>0.14313346228239845</v>
          </cell>
          <cell r="O53">
            <v>0.13169845594913715</v>
          </cell>
          <cell r="P53">
            <v>0.13212669683257919</v>
          </cell>
          <cell r="Q53">
            <v>0.15280464216634429</v>
          </cell>
          <cell r="R53">
            <v>0.22440087145969498</v>
          </cell>
          <cell r="S53">
            <v>0.15009940357852883</v>
          </cell>
          <cell r="T53">
            <v>0.19239130434782609</v>
          </cell>
          <cell r="U53">
            <v>0.10542476970317298</v>
          </cell>
          <cell r="V53">
            <v>0.13012295081967212</v>
          </cell>
          <cell r="W53">
            <v>0.15519013360739981</v>
          </cell>
          <cell r="X53">
            <v>0.13299492385786801</v>
          </cell>
          <cell r="Y53">
            <v>0.15308151093439365</v>
          </cell>
          <cell r="Z53">
            <v>0.16850828729281769</v>
          </cell>
          <cell r="AA53">
            <v>0.16593886462882096</v>
          </cell>
          <cell r="AB53">
            <v>0.12903225806451613</v>
          </cell>
          <cell r="AC53">
            <v>0.18028419182948491</v>
          </cell>
          <cell r="AD53">
            <v>0.13977566867989646</v>
          </cell>
          <cell r="AE53">
            <v>0.12052730696798493</v>
          </cell>
          <cell r="AF53">
            <v>0.13178984861976847</v>
          </cell>
          <cell r="AG53">
            <v>0.1455223880597015</v>
          </cell>
          <cell r="AH53">
            <v>0.16281138790035588</v>
          </cell>
          <cell r="AI53">
            <v>0.1438415159345392</v>
          </cell>
          <cell r="AJ53">
            <v>0.14349376114081996</v>
          </cell>
          <cell r="AK53">
            <v>0.13127753303964756</v>
          </cell>
          <cell r="AL53">
            <v>0.13499570077386069</v>
          </cell>
          <cell r="AM53">
            <v>0.16979362101313319</v>
          </cell>
          <cell r="AN53">
            <v>0.12786596119929453</v>
          </cell>
          <cell r="AO53">
            <v>0.11350455675227837</v>
          </cell>
          <cell r="AP53">
            <v>0.11479028697571744</v>
          </cell>
          <cell r="AQ53">
            <v>0.10307298335467349</v>
          </cell>
          <cell r="AR53">
            <v>0.11629686304514154</v>
          </cell>
          <cell r="AS53">
            <v>0.1440677966101695</v>
          </cell>
          <cell r="AT53">
            <v>9.7697138869504541E-2</v>
          </cell>
          <cell r="AU53">
            <v>9.110169491525423E-2</v>
          </cell>
          <cell r="AV53">
            <v>4.9792531120331947E-2</v>
          </cell>
          <cell r="AW53">
            <v>7.720588235294118E-2</v>
          </cell>
          <cell r="AX53">
            <v>5.9646987218502742E-2</v>
          </cell>
          <cell r="AY53">
            <v>4.9368541905855337E-2</v>
          </cell>
          <cell r="AZ53">
            <v>0.11535337124289195</v>
          </cell>
          <cell r="BA53">
            <v>0.1264131551901336</v>
          </cell>
          <cell r="BB53">
            <v>0.10645724258289703</v>
          </cell>
          <cell r="BC53">
            <v>0.10237659963436929</v>
          </cell>
          <cell r="BD53">
            <v>6.5198237885462557E-2</v>
          </cell>
          <cell r="BE53">
            <v>0.11082701745247049</v>
          </cell>
          <cell r="BF53">
            <v>8.0833394913070969E-2</v>
          </cell>
          <cell r="BG53">
            <v>0.11873727994771395</v>
          </cell>
          <cell r="BH53">
            <v>0.10189478898245935</v>
          </cell>
          <cell r="BI53">
            <v>8.640633895568689E-2</v>
          </cell>
          <cell r="BJ53">
            <v>9.5230181146885529E-2</v>
          </cell>
          <cell r="BK53">
            <v>7.0968609216852538E-2</v>
          </cell>
          <cell r="BL53">
            <v>6.974255153678062E-2</v>
          </cell>
          <cell r="BM53">
            <v>8.1341416837273972E-2</v>
          </cell>
          <cell r="BN53">
            <v>5.6991520019889177E-2</v>
          </cell>
          <cell r="BO53">
            <v>8.728352932684863E-2</v>
          </cell>
          <cell r="BP53">
            <v>7.6483255968546451E-2</v>
          </cell>
          <cell r="BQ53">
            <v>8.0079062348740737E-2</v>
          </cell>
          <cell r="BR53">
            <v>9.1121234910904209E-2</v>
          </cell>
          <cell r="BS53">
            <v>6.8856230778151492E-2</v>
          </cell>
          <cell r="BT53">
            <v>4.7333333333333331E-2</v>
          </cell>
          <cell r="BU53">
            <v>5.2702702702702706E-2</v>
          </cell>
          <cell r="BV53">
            <v>6.225165562913907E-2</v>
          </cell>
          <cell r="BW53">
            <v>5.7894736842105263E-2</v>
          </cell>
          <cell r="BX53">
            <v>6.5034965034965031E-2</v>
          </cell>
          <cell r="BY53">
            <v>5.3435114503816793E-2</v>
          </cell>
          <cell r="BZ53">
            <v>5.2816901408450703E-2</v>
          </cell>
          <cell r="CA53">
            <v>5.2504038772213248E-2</v>
          </cell>
          <cell r="CB53">
            <v>4.4709388971684055E-2</v>
          </cell>
          <cell r="CC53">
            <v>3.7565740045078885E-2</v>
          </cell>
          <cell r="CD53">
            <v>3.4057971014492754E-2</v>
          </cell>
          <cell r="CE53">
            <v>3.591160220994475E-2</v>
          </cell>
          <cell r="CF53">
            <v>3.6298932384341634E-2</v>
          </cell>
          <cell r="CG53">
            <v>4.077540106951872E-2</v>
          </cell>
          <cell r="CH53">
            <v>2.9520295202952029E-2</v>
          </cell>
          <cell r="CI53">
            <v>2.954808806488992E-2</v>
          </cell>
          <cell r="CJ53">
            <v>2.132701421800948E-2</v>
          </cell>
          <cell r="CK53">
            <v>2.567237163814181E-2</v>
          </cell>
          <cell r="CL53">
            <v>2.3001725129384705E-2</v>
          </cell>
          <cell r="CM53">
            <v>2.1666666666666667E-2</v>
          </cell>
          <cell r="CN53">
            <v>1.9573978123200921E-2</v>
          </cell>
          <cell r="CO53">
            <v>2.3382272974442633E-2</v>
          </cell>
          <cell r="CP53">
            <v>2.2131624927198602E-2</v>
          </cell>
          <cell r="CQ53">
            <v>1.7462165308498253E-2</v>
          </cell>
          <cell r="CR53">
            <v>2.0224719101123594E-2</v>
          </cell>
          <cell r="CS53">
            <v>1.853932584269663E-2</v>
          </cell>
          <cell r="CT53">
            <v>2.4157303370786518E-2</v>
          </cell>
          <cell r="CU53">
            <v>2.3730684326710817E-2</v>
          </cell>
          <cell r="CV53">
            <v>1.831964624131396E-2</v>
          </cell>
          <cell r="CW53">
            <v>1.5974440894568689E-2</v>
          </cell>
          <cell r="CX53">
            <v>1.7663043478260868E-2</v>
          </cell>
          <cell r="CY53">
            <v>1.1204481792717087E-2</v>
          </cell>
          <cell r="CZ53">
            <v>1.31852879944483E-2</v>
          </cell>
          <cell r="DA53">
            <v>2.9850746268656716E-2</v>
          </cell>
          <cell r="DB53">
            <v>1.5479876160990712E-2</v>
          </cell>
          <cell r="DC53">
            <v>1.3181019332161687E-2</v>
          </cell>
          <cell r="DD53">
            <v>1.2832263978001834E-2</v>
          </cell>
          <cell r="DE53">
            <v>1.0752688172043012E-2</v>
          </cell>
          <cell r="DF53">
            <v>1.4349775784753363E-2</v>
          </cell>
          <cell r="DG53">
            <v>6.5843621399176953E-3</v>
          </cell>
          <cell r="DH53">
            <v>6.956521739130435E-3</v>
          </cell>
          <cell r="DI53">
            <v>1.1494252873563218E-2</v>
          </cell>
          <cell r="DJ53">
            <v>1.3077593722755012E-2</v>
          </cell>
          <cell r="DK53">
            <v>8.5910652920962206E-3</v>
          </cell>
          <cell r="DL53">
            <v>8.9206066012488851E-3</v>
          </cell>
          <cell r="DM53">
            <v>9.4043887147335428E-3</v>
          </cell>
          <cell r="DN53">
            <v>9.1743119266055051E-3</v>
          </cell>
          <cell r="DO53">
            <v>5.3908355795148251E-3</v>
          </cell>
          <cell r="DP53">
            <v>5.4298642533936649E-3</v>
          </cell>
          <cell r="DQ53">
            <v>6.653992395437262E-3</v>
          </cell>
          <cell r="DR53">
            <v>4.8780487804878049E-3</v>
          </cell>
          <cell r="DS53">
            <v>7.6701821668264617E-3</v>
          </cell>
        </row>
        <row r="54">
          <cell r="A54" t="str">
            <v>Canelones</v>
          </cell>
          <cell r="B54">
            <v>9.7508896797153022E-2</v>
          </cell>
          <cell r="C54">
            <v>8.4805653710247356E-2</v>
          </cell>
          <cell r="D54">
            <v>8.5902320748181507E-2</v>
          </cell>
          <cell r="E54">
            <v>8.7405368203716444E-2</v>
          </cell>
          <cell r="F54">
            <v>7.2412575061815615E-2</v>
          </cell>
          <cell r="G54">
            <v>5.6603773584905662E-2</v>
          </cell>
          <cell r="H54">
            <v>7.7944774554351628E-2</v>
          </cell>
          <cell r="I54">
            <v>9.7774780849629137E-2</v>
          </cell>
          <cell r="J54">
            <v>7.5185643564356433E-2</v>
          </cell>
          <cell r="K54">
            <v>7.6590672030993887E-2</v>
          </cell>
          <cell r="L54">
            <v>7.7895947111238859E-2</v>
          </cell>
          <cell r="M54">
            <v>7.3191733639494827E-2</v>
          </cell>
          <cell r="N54">
            <v>8.7714366038796746E-2</v>
          </cell>
          <cell r="O54">
            <v>6.6350710900473939E-2</v>
          </cell>
          <cell r="P54">
            <v>5.5588063194850788E-2</v>
          </cell>
          <cell r="Q54">
            <v>7.9181494661921703E-2</v>
          </cell>
          <cell r="R54">
            <v>8.7431693989071038E-2</v>
          </cell>
          <cell r="S54">
            <v>7.6184577268504181E-2</v>
          </cell>
          <cell r="T54">
            <v>6.6057210262459448E-2</v>
          </cell>
          <cell r="U54">
            <v>7.0223025919228452E-2</v>
          </cell>
          <cell r="V54">
            <v>7.9157357165655917E-2</v>
          </cell>
          <cell r="W54">
            <v>9.2150170648464161E-2</v>
          </cell>
          <cell r="X54">
            <v>7.2045251562965165E-2</v>
          </cell>
          <cell r="Y54">
            <v>6.3594470046082943E-2</v>
          </cell>
          <cell r="Z54">
            <v>6.837862048372649E-2</v>
          </cell>
          <cell r="AA54">
            <v>8.6811857229280101E-2</v>
          </cell>
          <cell r="AB54">
            <v>7.0213424064336533E-2</v>
          </cell>
          <cell r="AC54">
            <v>7.8203517587939697E-2</v>
          </cell>
          <cell r="AD54">
            <v>7.2613458528951486E-2</v>
          </cell>
          <cell r="AE54">
            <v>6.3389391979301421E-2</v>
          </cell>
          <cell r="AF54">
            <v>7.1835443037974678E-2</v>
          </cell>
          <cell r="AG54">
            <v>7.0547295159759577E-2</v>
          </cell>
          <cell r="AH54">
            <v>6.7913385826771658E-2</v>
          </cell>
          <cell r="AI54">
            <v>6.3768115942028983E-2</v>
          </cell>
          <cell r="AJ54">
            <v>6.4984445212582093E-2</v>
          </cell>
          <cell r="AK54">
            <v>6.7760342368045651E-2</v>
          </cell>
          <cell r="AL54">
            <v>6.7964872088583428E-2</v>
          </cell>
          <cell r="AM54">
            <v>6.8103116583301274E-2</v>
          </cell>
          <cell r="AN54">
            <v>8.3534136546184745E-2</v>
          </cell>
          <cell r="AO54">
            <v>5.2299703264094957E-2</v>
          </cell>
          <cell r="AP54">
            <v>6.3781321184510256E-2</v>
          </cell>
          <cell r="AQ54">
            <v>6.0161974546856921E-2</v>
          </cell>
          <cell r="AR54">
            <v>7.4615080931701536E-2</v>
          </cell>
          <cell r="AS54">
            <v>6.6459385930820056E-2</v>
          </cell>
          <cell r="AT54">
            <v>4.9777117384843979E-2</v>
          </cell>
          <cell r="AU54">
            <v>4.4983934309175293E-2</v>
          </cell>
          <cell r="AV54">
            <v>3.4144569560479475E-2</v>
          </cell>
          <cell r="AW54">
            <v>3.2248062015503877E-2</v>
          </cell>
          <cell r="AX54">
            <v>2.9394121175764846E-2</v>
          </cell>
          <cell r="AY54">
            <v>2.5898078529657476E-2</v>
          </cell>
          <cell r="AZ54">
            <v>3.4677990092002828E-2</v>
          </cell>
          <cell r="BA54">
            <v>2.972560975609756E-2</v>
          </cell>
          <cell r="BB54">
            <v>4.3478260869565216E-2</v>
          </cell>
          <cell r="BC54">
            <v>4.647731464404279E-2</v>
          </cell>
          <cell r="BD54">
            <v>4.4821731748726654E-2</v>
          </cell>
          <cell r="BE54">
            <v>4.6257517432315307E-2</v>
          </cell>
          <cell r="BF54">
            <v>4.59160092741559E-2</v>
          </cell>
          <cell r="BG54">
            <v>5.0200212984734108E-2</v>
          </cell>
          <cell r="BH54">
            <v>6.0128378475536585E-2</v>
          </cell>
          <cell r="BI54">
            <v>5.9146028666274844E-2</v>
          </cell>
          <cell r="BJ54">
            <v>5.533000270022808E-2</v>
          </cell>
          <cell r="BK54">
            <v>4.1104058214692062E-2</v>
          </cell>
          <cell r="BL54">
            <v>4.6758804769043642E-2</v>
          </cell>
          <cell r="BM54">
            <v>5.112753648353964E-2</v>
          </cell>
          <cell r="BN54">
            <v>4.3898514459846653E-2</v>
          </cell>
          <cell r="BO54">
            <v>4.6798288906249735E-2</v>
          </cell>
          <cell r="BP54">
            <v>4.6479321441153923E-2</v>
          </cell>
          <cell r="BQ54">
            <v>5.8917305614261055E-2</v>
          </cell>
          <cell r="BR54">
            <v>6.2153281399557114E-2</v>
          </cell>
          <cell r="BS54">
            <v>5.4207565970500284E-2</v>
          </cell>
          <cell r="BT54">
            <v>4.6875E-2</v>
          </cell>
          <cell r="BU54">
            <v>4.5768025078369905E-2</v>
          </cell>
          <cell r="BV54">
            <v>4.6587537091988131E-2</v>
          </cell>
          <cell r="BW54">
            <v>4.2792792792792793E-2</v>
          </cell>
          <cell r="BX54">
            <v>3.916184971098266E-2</v>
          </cell>
          <cell r="BY54">
            <v>4.8571428571428571E-2</v>
          </cell>
          <cell r="BZ54">
            <v>4.1791044776119404E-2</v>
          </cell>
          <cell r="CA54">
            <v>5.5518945634266889E-2</v>
          </cell>
          <cell r="CB54">
            <v>4.3398736282008646E-2</v>
          </cell>
          <cell r="CC54">
            <v>3.6968264686022954E-2</v>
          </cell>
          <cell r="CD54">
            <v>3.8624511082138199E-2</v>
          </cell>
          <cell r="CE54">
            <v>3.3456108041743399E-2</v>
          </cell>
          <cell r="CF54">
            <v>3.1007751937984496E-2</v>
          </cell>
          <cell r="CG54">
            <v>3.0279503105590064E-2</v>
          </cell>
          <cell r="CH54">
            <v>2.8171135884302499E-2</v>
          </cell>
          <cell r="CI54">
            <v>2.8354764259808769E-2</v>
          </cell>
          <cell r="CJ54">
            <v>2.8490028490028491E-2</v>
          </cell>
          <cell r="CK54">
            <v>2.5538066174108576E-2</v>
          </cell>
          <cell r="CL54">
            <v>2.0805666223992918E-2</v>
          </cell>
          <cell r="CM54">
            <v>2.164762477450391E-2</v>
          </cell>
          <cell r="CN54">
            <v>1.925780151813326E-2</v>
          </cell>
          <cell r="CO54">
            <v>2.1570066030814381E-2</v>
          </cell>
          <cell r="CP54">
            <v>1.8998029833943147E-2</v>
          </cell>
          <cell r="CQ54">
            <v>1.923587158397453E-2</v>
          </cell>
          <cell r="CR54">
            <v>1.8620508785733018E-2</v>
          </cell>
          <cell r="CS54">
            <v>1.6145970070884745E-2</v>
          </cell>
          <cell r="CT54">
            <v>1.6014702021527959E-2</v>
          </cell>
          <cell r="CU54">
            <v>1.4350545811357782E-2</v>
          </cell>
          <cell r="CV54">
            <v>1.540436456996149E-2</v>
          </cell>
          <cell r="CW54">
            <v>1.3417721518987341E-2</v>
          </cell>
          <cell r="CX54">
            <v>1.1738539478561721E-2</v>
          </cell>
          <cell r="CY54">
            <v>9.7160883280757102E-3</v>
          </cell>
          <cell r="CZ54">
            <v>1.3426156141223273E-2</v>
          </cell>
          <cell r="DA54">
            <v>1.3496307613954673E-2</v>
          </cell>
          <cell r="DB54">
            <v>1.1286089238845144E-2</v>
          </cell>
          <cell r="DC54">
            <v>1.2322015334063527E-2</v>
          </cell>
          <cell r="DD54">
            <v>9.1496232508073202E-3</v>
          </cell>
          <cell r="DE54">
            <v>1.3898540653231411E-2</v>
          </cell>
          <cell r="DF54">
            <v>1.1430990685859441E-2</v>
          </cell>
          <cell r="DG54">
            <v>8.7847730600292828E-3</v>
          </cell>
          <cell r="DH54">
            <v>5.7504312823461762E-3</v>
          </cell>
          <cell r="DI54">
            <v>9.1501240694789078E-3</v>
          </cell>
          <cell r="DJ54">
            <v>1.1676646706586826E-2</v>
          </cell>
          <cell r="DK54">
            <v>9.7597597597597601E-3</v>
          </cell>
          <cell r="DL54">
            <v>8.9311859443631045E-3</v>
          </cell>
          <cell r="DM54">
            <v>7.2321832153081208E-3</v>
          </cell>
          <cell r="DN54">
            <v>6.4635272391505077E-3</v>
          </cell>
          <cell r="DO54">
            <v>4.608294930875576E-3</v>
          </cell>
          <cell r="DP54">
            <v>6.5930149679258735E-3</v>
          </cell>
          <cell r="DQ54">
            <v>6.1943476577622919E-3</v>
          </cell>
          <cell r="DR54">
            <v>7.9797586609575717E-3</v>
          </cell>
          <cell r="DS54">
            <v>6.383855024711697E-3</v>
          </cell>
        </row>
        <row r="55">
          <cell r="A55" t="str">
            <v>Cerro Largo</v>
          </cell>
          <cell r="B55">
            <v>7.9315707620528766E-2</v>
          </cell>
          <cell r="C55">
            <v>9.1127098321342928E-2</v>
          </cell>
          <cell r="D55">
            <v>8.7242798353909468E-2</v>
          </cell>
          <cell r="E55">
            <v>9.1342335186656076E-2</v>
          </cell>
          <cell r="F55">
            <v>7.2401195616074387E-2</v>
          </cell>
          <cell r="G55">
            <v>5.878995433789954E-2</v>
          </cell>
          <cell r="H55">
            <v>7.2477650063856966E-2</v>
          </cell>
          <cell r="I55">
            <v>8.9855072463768115E-2</v>
          </cell>
          <cell r="J55">
            <v>0.1164337990685296</v>
          </cell>
          <cell r="K55">
            <v>0.12181303116147309</v>
          </cell>
          <cell r="L55">
            <v>0.1279333838001514</v>
          </cell>
          <cell r="M55">
            <v>0.11145320197044335</v>
          </cell>
          <cell r="N55">
            <v>0.11957168352171327</v>
          </cell>
          <cell r="O55">
            <v>0.10927717700626068</v>
          </cell>
          <cell r="P55">
            <v>0.10344827586206896</v>
          </cell>
          <cell r="Q55">
            <v>0.12406947890818859</v>
          </cell>
          <cell r="R55">
            <v>0.13595166163141995</v>
          </cell>
          <cell r="S55">
            <v>0.14039262343842951</v>
          </cell>
          <cell r="T55">
            <v>0.16586826347305389</v>
          </cell>
          <cell r="U55">
            <v>0.11672278338945005</v>
          </cell>
          <cell r="V55">
            <v>0.11105121293800539</v>
          </cell>
          <cell r="W55">
            <v>0.1118421052631579</v>
          </cell>
          <cell r="X55">
            <v>0.10262675626145389</v>
          </cell>
          <cell r="Y55">
            <v>0.15439856373429084</v>
          </cell>
          <cell r="Z55">
            <v>0.10334703464474457</v>
          </cell>
          <cell r="AA55">
            <v>0.1361111111111111</v>
          </cell>
          <cell r="AB55">
            <v>7.8125E-2</v>
          </cell>
          <cell r="AC55">
            <v>0.10409745293466224</v>
          </cell>
          <cell r="AD55">
            <v>0.11205523101433883</v>
          </cell>
          <cell r="AE55">
            <v>0.13597430406852248</v>
          </cell>
          <cell r="AF55">
            <v>0.10881104033970276</v>
          </cell>
          <cell r="AG55">
            <v>0.14721627408993576</v>
          </cell>
          <cell r="AH55">
            <v>0.11496149614961496</v>
          </cell>
          <cell r="AI55">
            <v>0.13810888252148998</v>
          </cell>
          <cell r="AJ55">
            <v>0.12537673297166968</v>
          </cell>
          <cell r="AK55">
            <v>0.16970802919708028</v>
          </cell>
          <cell r="AL55">
            <v>0.11767986614612382</v>
          </cell>
          <cell r="AM55">
            <v>0.1379495437466452</v>
          </cell>
          <cell r="AN55">
            <v>0.13520822065981611</v>
          </cell>
          <cell r="AO55">
            <v>0.11802575107296137</v>
          </cell>
          <cell r="AP55">
            <v>0.1152099886492622</v>
          </cell>
          <cell r="AQ55">
            <v>0.10457856399583768</v>
          </cell>
          <cell r="AR55">
            <v>0.13890489913544668</v>
          </cell>
          <cell r="AS55">
            <v>0.1270820481184454</v>
          </cell>
          <cell r="AT55">
            <v>0.10038058991436727</v>
          </cell>
          <cell r="AU55">
            <v>6.4733915806195391E-2</v>
          </cell>
          <cell r="AV55">
            <v>4.5606229143492771E-2</v>
          </cell>
          <cell r="AW55">
            <v>6.1224489795918366E-2</v>
          </cell>
          <cell r="AX55">
            <v>4.2947056645686786E-2</v>
          </cell>
          <cell r="AY55">
            <v>2.8639618138424822E-2</v>
          </cell>
          <cell r="AZ55">
            <v>7.3918269230769232E-2</v>
          </cell>
          <cell r="BA55">
            <v>7.303754266211604E-2</v>
          </cell>
          <cell r="BB55">
            <v>7.2083078802687842E-2</v>
          </cell>
          <cell r="BC55">
            <v>9.8001289490651192E-2</v>
          </cell>
          <cell r="BD55">
            <v>6.9548872180451124E-2</v>
          </cell>
          <cell r="BE55">
            <v>8.6972411297628366E-2</v>
          </cell>
          <cell r="BF55">
            <v>7.4528985221133853E-2</v>
          </cell>
          <cell r="BG55">
            <v>9.9543705757179912E-2</v>
          </cell>
          <cell r="BH55">
            <v>7.0237743632115171E-2</v>
          </cell>
          <cell r="BI55">
            <v>7.50427840267269E-2</v>
          </cell>
          <cell r="BJ55">
            <v>6.726106358661621E-2</v>
          </cell>
          <cell r="BK55">
            <v>6.4327718294276748E-2</v>
          </cell>
          <cell r="BL55">
            <v>6.6705687253365356E-2</v>
          </cell>
          <cell r="BM55">
            <v>5.9756011017213777E-2</v>
          </cell>
          <cell r="BN55">
            <v>6.1548080618582815E-2</v>
          </cell>
          <cell r="BO55">
            <v>4.5055124064620186E-2</v>
          </cell>
          <cell r="BP55">
            <v>3.9016881236744197E-2</v>
          </cell>
          <cell r="BQ55">
            <v>4.989761984366578E-2</v>
          </cell>
          <cell r="BR55">
            <v>6.114611528127268E-2</v>
          </cell>
          <cell r="BS55">
            <v>5.2082803879621949E-2</v>
          </cell>
          <cell r="BT55">
            <v>4.3169398907103827E-2</v>
          </cell>
          <cell r="BU55">
            <v>0.05</v>
          </cell>
          <cell r="BV55">
            <v>6.1874999999999999E-2</v>
          </cell>
          <cell r="BW55">
            <v>5.7558139534883722E-2</v>
          </cell>
          <cell r="BX55">
            <v>4.3113772455089822E-2</v>
          </cell>
          <cell r="BY55">
            <v>5.3072625698324022E-2</v>
          </cell>
          <cell r="BZ55">
            <v>5.5801104972375691E-2</v>
          </cell>
          <cell r="CA55">
            <v>4.3890865954922892E-2</v>
          </cell>
          <cell r="CB55">
            <v>3.860294117647059E-2</v>
          </cell>
          <cell r="CC55">
            <v>4.1244083840432724E-2</v>
          </cell>
          <cell r="CD55">
            <v>4.1666666666666664E-2</v>
          </cell>
          <cell r="CE55">
            <v>2.8005464480874317E-2</v>
          </cell>
          <cell r="CF55">
            <v>2.1834061135371178E-2</v>
          </cell>
          <cell r="CG55">
            <v>2.3305084745762712E-2</v>
          </cell>
          <cell r="CH55">
            <v>4.3656207366984993E-2</v>
          </cell>
          <cell r="CI55">
            <v>2.1711366538952746E-2</v>
          </cell>
          <cell r="CJ55">
            <v>2.9850746268656716E-2</v>
          </cell>
          <cell r="CK55">
            <v>2.2889842632331903E-2</v>
          </cell>
          <cell r="CL55">
            <v>3.2383419689119168E-2</v>
          </cell>
          <cell r="CM55">
            <v>1.8925518925518924E-2</v>
          </cell>
          <cell r="CN55">
            <v>2.5000000000000001E-2</v>
          </cell>
          <cell r="CO55">
            <v>2.6871401151631478E-2</v>
          </cell>
          <cell r="CP55">
            <v>2.0547945205479451E-2</v>
          </cell>
          <cell r="CQ55">
            <v>1.8833535844471446E-2</v>
          </cell>
          <cell r="CR55">
            <v>1.8202502844141068E-2</v>
          </cell>
          <cell r="CS55">
            <v>2.1764032073310423E-2</v>
          </cell>
          <cell r="CT55">
            <v>1.8900343642611683E-2</v>
          </cell>
          <cell r="CU55">
            <v>1.5957446808510637E-2</v>
          </cell>
          <cell r="CV55">
            <v>1.9127316198445904E-2</v>
          </cell>
          <cell r="CW55">
            <v>1.4267990074441687E-2</v>
          </cell>
          <cell r="CX55">
            <v>1.0759493670886076E-2</v>
          </cell>
          <cell r="CY55">
            <v>7.3284477015323115E-3</v>
          </cell>
          <cell r="CZ55">
            <v>1.7173051519154558E-2</v>
          </cell>
          <cell r="DA55">
            <v>1.8975332068311195E-2</v>
          </cell>
          <cell r="DB55">
            <v>2.1739130434782608E-2</v>
          </cell>
          <cell r="DC55">
            <v>2.3151605675877519E-2</v>
          </cell>
          <cell r="DD55">
            <v>1.260835303388495E-2</v>
          </cell>
          <cell r="DE55">
            <v>2.0249221183800622E-2</v>
          </cell>
          <cell r="DF55">
            <v>1.4210919970082274E-2</v>
          </cell>
          <cell r="DG55">
            <v>1.2562814070351759E-2</v>
          </cell>
          <cell r="DH55">
            <v>7.311129163281885E-3</v>
          </cell>
          <cell r="DI55">
            <v>1.2260536398467433E-2</v>
          </cell>
          <cell r="DJ55">
            <v>1.2412723041117145E-2</v>
          </cell>
          <cell r="DK55">
            <v>6.5040650406504065E-3</v>
          </cell>
          <cell r="DL55">
            <v>9.9693251533742328E-3</v>
          </cell>
          <cell r="DM55">
            <v>1.0570824524312896E-2</v>
          </cell>
          <cell r="DN55">
            <v>9.0840272520817562E-3</v>
          </cell>
          <cell r="DO55">
            <v>1.0186757215619695E-2</v>
          </cell>
          <cell r="DP55">
            <v>1.0300429184549357E-2</v>
          </cell>
          <cell r="DQ55">
            <v>7.4211502782931356E-3</v>
          </cell>
          <cell r="DR55">
            <v>1.9029495718363464E-3</v>
          </cell>
          <cell r="DS55">
            <v>9.1556459816887082E-3</v>
          </cell>
        </row>
        <row r="56">
          <cell r="A56" t="str">
            <v>Colonia</v>
          </cell>
          <cell r="B56">
            <v>9.2975206611570244E-2</v>
          </cell>
          <cell r="C56">
            <v>9.5437860513896175E-2</v>
          </cell>
          <cell r="D56">
            <v>8.4611578426521519E-2</v>
          </cell>
          <cell r="E56">
            <v>0.10425844346549193</v>
          </cell>
          <cell r="F56">
            <v>9.3282636248415721E-2</v>
          </cell>
          <cell r="G56">
            <v>8.1493165089379607E-2</v>
          </cell>
          <cell r="H56">
            <v>8.4144818976279651E-2</v>
          </cell>
          <cell r="I56">
            <v>8.6543033761293395E-2</v>
          </cell>
          <cell r="J56">
            <v>8.5941148995796357E-2</v>
          </cell>
          <cell r="K56">
            <v>9.650507328072154E-2</v>
          </cell>
          <cell r="L56">
            <v>0.10636442894507411</v>
          </cell>
          <cell r="M56">
            <v>9.6385542168674704E-2</v>
          </cell>
          <cell r="N56">
            <v>9.1452991452991447E-2</v>
          </cell>
          <cell r="O56">
            <v>7.2488342518016113E-2</v>
          </cell>
          <cell r="P56">
            <v>7.5744680851063825E-2</v>
          </cell>
          <cell r="Q56">
            <v>0.10519423832387603</v>
          </cell>
          <cell r="R56">
            <v>9.6525096525096526E-2</v>
          </cell>
          <cell r="S56">
            <v>8.9537712895377125E-2</v>
          </cell>
          <cell r="T56">
            <v>9.8148148148148151E-2</v>
          </cell>
          <cell r="U56">
            <v>6.8469254252071524E-2</v>
          </cell>
          <cell r="V56">
            <v>8.6996336996336993E-2</v>
          </cell>
          <cell r="W56">
            <v>0.10022371364653244</v>
          </cell>
          <cell r="X56">
            <v>7.7722548576592859E-2</v>
          </cell>
          <cell r="Y56">
            <v>8.1892629663330302E-2</v>
          </cell>
          <cell r="Z56">
            <v>7.3126962763571113E-2</v>
          </cell>
          <cell r="AA56">
            <v>0.11007957559681697</v>
          </cell>
          <cell r="AB56">
            <v>7.8007933010136629E-2</v>
          </cell>
          <cell r="AC56">
            <v>8.3040421792618627E-2</v>
          </cell>
          <cell r="AD56">
            <v>8.8869715271786026E-2</v>
          </cell>
          <cell r="AE56">
            <v>8.2903780068728519E-2</v>
          </cell>
          <cell r="AF56">
            <v>8.9270386266094418E-2</v>
          </cell>
          <cell r="AG56">
            <v>8.3976006855184235E-2</v>
          </cell>
          <cell r="AH56">
            <v>6.8401174989509025E-2</v>
          </cell>
          <cell r="AI56">
            <v>6.9391230310770546E-2</v>
          </cell>
          <cell r="AJ56">
            <v>7.7582318448353629E-2</v>
          </cell>
          <cell r="AK56">
            <v>8.8169140800719747E-2</v>
          </cell>
          <cell r="AL56">
            <v>0.10584291187739464</v>
          </cell>
          <cell r="AM56">
            <v>7.3134328358208961E-2</v>
          </cell>
          <cell r="AN56">
            <v>9.3191694833413816E-2</v>
          </cell>
          <cell r="AO56">
            <v>6.2354583527221966E-2</v>
          </cell>
          <cell r="AP56">
            <v>9.3901258470474341E-2</v>
          </cell>
          <cell r="AQ56">
            <v>6.541176470588235E-2</v>
          </cell>
          <cell r="AR56">
            <v>7.3782587309394979E-2</v>
          </cell>
          <cell r="AS56">
            <v>6.07429718875502E-2</v>
          </cell>
          <cell r="AT56">
            <v>6.3718497384688544E-2</v>
          </cell>
          <cell r="AU56">
            <v>4.2727272727272725E-2</v>
          </cell>
          <cell r="AV56">
            <v>3.925148334094021E-2</v>
          </cell>
          <cell r="AW56">
            <v>4.9219687875150062E-2</v>
          </cell>
          <cell r="AX56">
            <v>3.7170263788968823E-2</v>
          </cell>
          <cell r="AY56">
            <v>3.2628846866889133E-2</v>
          </cell>
          <cell r="AZ56">
            <v>4.7507055503292567E-2</v>
          </cell>
          <cell r="BA56">
            <v>4.5965270684371805E-2</v>
          </cell>
          <cell r="BB56">
            <v>4.2063094641962943E-2</v>
          </cell>
          <cell r="BC56">
            <v>4.3837029396596186E-2</v>
          </cell>
          <cell r="BD56">
            <v>3.1818181818181815E-2</v>
          </cell>
          <cell r="BE56">
            <v>4.6280341829659156E-2</v>
          </cell>
          <cell r="BF56">
            <v>4.1587301790199913E-2</v>
          </cell>
          <cell r="BG56">
            <v>4.4416729688467688E-2</v>
          </cell>
          <cell r="BH56">
            <v>4.0760954549559129E-2</v>
          </cell>
          <cell r="BI56">
            <v>5.7433119217379258E-2</v>
          </cell>
          <cell r="BJ56">
            <v>4.9314920274112439E-2</v>
          </cell>
          <cell r="BK56">
            <v>4.5189765078248581E-2</v>
          </cell>
          <cell r="BL56">
            <v>5.0392209621722549E-2</v>
          </cell>
          <cell r="BM56">
            <v>3.4598593710077293E-2</v>
          </cell>
          <cell r="BN56">
            <v>4.9507864182988526E-2</v>
          </cell>
          <cell r="BO56">
            <v>4.7377704592737123E-2</v>
          </cell>
          <cell r="BP56">
            <v>3.5151569521174417E-2</v>
          </cell>
          <cell r="BQ56">
            <v>4.3645268968077501E-2</v>
          </cell>
          <cell r="BR56">
            <v>4.3949863459761353E-2</v>
          </cell>
          <cell r="BS56">
            <v>4.06826972221574E-2</v>
          </cell>
          <cell r="BT56">
            <v>3.7440758293838861E-2</v>
          </cell>
          <cell r="BU56">
            <v>3.2380952380952378E-2</v>
          </cell>
          <cell r="BV56">
            <v>2.6470588235294117E-2</v>
          </cell>
          <cell r="BW56">
            <v>2.8571428571428571E-2</v>
          </cell>
          <cell r="BX56">
            <v>3.2828282828282832E-2</v>
          </cell>
          <cell r="BY56">
            <v>2.8571428571428571E-2</v>
          </cell>
          <cell r="BZ56">
            <v>3.2828282828282832E-2</v>
          </cell>
          <cell r="CA56">
            <v>3.7679722359940507E-2</v>
          </cell>
          <cell r="CB56">
            <v>3.1316348195329087E-2</v>
          </cell>
          <cell r="CC56">
            <v>3.2409827496079457E-2</v>
          </cell>
          <cell r="CD56">
            <v>2.3796347537354733E-2</v>
          </cell>
          <cell r="CE56">
            <v>2.365930599369085E-2</v>
          </cell>
          <cell r="CF56">
            <v>1.9250780437044746E-2</v>
          </cell>
          <cell r="CG56">
            <v>2.4245689655172414E-2</v>
          </cell>
          <cell r="CH56">
            <v>2.1112255406797117E-2</v>
          </cell>
          <cell r="CI56">
            <v>2.3406374501992032E-2</v>
          </cell>
          <cell r="CJ56">
            <v>1.8564977420973405E-2</v>
          </cell>
          <cell r="CK56">
            <v>1.6798418972332016E-2</v>
          </cell>
          <cell r="CL56">
            <v>1.5562248995983935E-2</v>
          </cell>
          <cell r="CM56">
            <v>2.2494887525562373E-2</v>
          </cell>
          <cell r="CN56">
            <v>1.2118274357731459E-2</v>
          </cell>
          <cell r="CO56">
            <v>1.6288252714708785E-2</v>
          </cell>
          <cell r="CP56">
            <v>1.4616935483870967E-2</v>
          </cell>
          <cell r="CQ56">
            <v>1.6393442622950821E-2</v>
          </cell>
          <cell r="CR56">
            <v>1.3432835820895522E-2</v>
          </cell>
          <cell r="CS56">
            <v>1.037037037037037E-2</v>
          </cell>
          <cell r="CT56">
            <v>1.6790123456790124E-2</v>
          </cell>
          <cell r="CU56">
            <v>1.11731843575419E-2</v>
          </cell>
          <cell r="CV56">
            <v>1.010611419909045E-2</v>
          </cell>
          <cell r="CW56">
            <v>1.0917030567685589E-2</v>
          </cell>
          <cell r="CX56">
            <v>9.5559302979201805E-3</v>
          </cell>
          <cell r="CY56">
            <v>1.5294117647058824E-2</v>
          </cell>
          <cell r="CZ56">
            <v>1.2208657047724751E-2</v>
          </cell>
          <cell r="DA56">
            <v>9.1272104962920701E-3</v>
          </cell>
          <cell r="DB56">
            <v>1.1607661056297156E-2</v>
          </cell>
          <cell r="DC56">
            <v>1.2277470841006752E-2</v>
          </cell>
          <cell r="DD56">
            <v>1.1764705882352941E-2</v>
          </cell>
          <cell r="DE56">
            <v>1.0925819436457734E-2</v>
          </cell>
          <cell r="DF56">
            <v>6.313131313131313E-3</v>
          </cell>
          <cell r="DG56">
            <v>3.1407035175879399E-3</v>
          </cell>
          <cell r="DH56">
            <v>5.1933064050779E-3</v>
          </cell>
          <cell r="DI56">
            <v>1.2812690665039659E-2</v>
          </cell>
          <cell r="DJ56">
            <v>9.9765258215962441E-3</v>
          </cell>
          <cell r="DK56">
            <v>5.7273768613974796E-3</v>
          </cell>
          <cell r="DL56">
            <v>9.9183197199533262E-3</v>
          </cell>
          <cell r="DM56">
            <v>4.595060310166571E-3</v>
          </cell>
          <cell r="DN56">
            <v>6.0864272671941567E-3</v>
          </cell>
          <cell r="DO56">
            <v>8.2539682539682548E-3</v>
          </cell>
          <cell r="DP56">
            <v>4.1237113402061857E-3</v>
          </cell>
          <cell r="DQ56">
            <v>8.3270249810749441E-3</v>
          </cell>
          <cell r="DR56">
            <v>6.4935064935064939E-3</v>
          </cell>
          <cell r="DS56">
            <v>5.0718512256973797E-3</v>
          </cell>
        </row>
        <row r="57">
          <cell r="A57" t="str">
            <v>Durazno</v>
          </cell>
          <cell r="B57">
            <v>0.13271162123385941</v>
          </cell>
          <cell r="C57">
            <v>0.10425240054869685</v>
          </cell>
          <cell r="D57">
            <v>0.10418143160878809</v>
          </cell>
          <cell r="E57">
            <v>9.5145631067961159E-2</v>
          </cell>
          <cell r="F57">
            <v>9.4759962347034835E-2</v>
          </cell>
          <cell r="G57">
            <v>9.4397076735688187E-2</v>
          </cell>
          <cell r="H57">
            <v>0.11417450535192994</v>
          </cell>
          <cell r="I57">
            <v>0.13671061762664816</v>
          </cell>
          <cell r="J57">
            <v>0.1</v>
          </cell>
          <cell r="K57">
            <v>0.10593792172739541</v>
          </cell>
          <cell r="L57">
            <v>0.11218836565096953</v>
          </cell>
          <cell r="M57">
            <v>9.9811676082862524E-2</v>
          </cell>
          <cell r="N57">
            <v>0.15740162398500937</v>
          </cell>
          <cell r="O57">
            <v>8.656174334140436E-2</v>
          </cell>
          <cell r="P57">
            <v>0.11154598825831702</v>
          </cell>
          <cell r="Q57">
            <v>0.10723514211886305</v>
          </cell>
          <cell r="R57">
            <v>0.14305750350631136</v>
          </cell>
          <cell r="S57">
            <v>0.11400247831474597</v>
          </cell>
          <cell r="T57">
            <v>0.12249848392965433</v>
          </cell>
          <cell r="U57">
            <v>9.7122302158273388E-2</v>
          </cell>
          <cell r="V57">
            <v>0.13508771929824562</v>
          </cell>
          <cell r="W57">
            <v>9.6188747731397461E-2</v>
          </cell>
          <cell r="X57">
            <v>0.10408921933085502</v>
          </cell>
          <cell r="Y57">
            <v>0.11340852130325814</v>
          </cell>
          <cell r="Z57">
            <v>9.1291291291291293E-2</v>
          </cell>
          <cell r="AA57">
            <v>0.13234421364985163</v>
          </cell>
          <cell r="AB57">
            <v>9.5118898623279102E-2</v>
          </cell>
          <cell r="AC57">
            <v>8.8511137162954279E-2</v>
          </cell>
          <cell r="AD57">
            <v>8.6058519793459548E-2</v>
          </cell>
          <cell r="AE57">
            <v>7.0391061452513962E-2</v>
          </cell>
          <cell r="AF57">
            <v>9.4664371772805511E-2</v>
          </cell>
          <cell r="AG57">
            <v>9.4295692665890565E-2</v>
          </cell>
          <cell r="AH57">
            <v>8.4946908182386011E-2</v>
          </cell>
          <cell r="AI57">
            <v>7.2151898734177211E-2</v>
          </cell>
          <cell r="AJ57">
            <v>0.11567164179104478</v>
          </cell>
          <cell r="AK57">
            <v>0.10412926391382406</v>
          </cell>
          <cell r="AL57">
            <v>8.1477139507620158E-2</v>
          </cell>
          <cell r="AM57">
            <v>8.0548926014319802E-2</v>
          </cell>
          <cell r="AN57">
            <v>9.0133982947624841E-2</v>
          </cell>
          <cell r="AO57">
            <v>7.8031212484993992E-2</v>
          </cell>
          <cell r="AP57">
            <v>8.3075015499070051E-2</v>
          </cell>
          <cell r="AQ57">
            <v>9.2452830188679239E-2</v>
          </cell>
          <cell r="AR57">
            <v>8.7414755114693113E-2</v>
          </cell>
          <cell r="AS57">
            <v>6.0398505603985055E-2</v>
          </cell>
          <cell r="AT57">
            <v>6.67420814479638E-2</v>
          </cell>
          <cell r="AU57">
            <v>5.1103368176538912E-2</v>
          </cell>
          <cell r="AV57">
            <v>4.8252911813643926E-2</v>
          </cell>
          <cell r="AW57">
            <v>7.3349633251833746E-2</v>
          </cell>
          <cell r="AX57">
            <v>5.368360936607653E-2</v>
          </cell>
          <cell r="AY57">
            <v>3.2756200280767429E-2</v>
          </cell>
          <cell r="AZ57">
            <v>8.8125466766243471E-2</v>
          </cell>
          <cell r="BA57">
            <v>7.5614366729678639E-2</v>
          </cell>
          <cell r="BB57">
            <v>5.6466302367941715E-2</v>
          </cell>
          <cell r="BC57">
            <v>6.3978965819456612E-2</v>
          </cell>
          <cell r="BD57">
            <v>4.9455155071248952E-2</v>
          </cell>
          <cell r="BE57">
            <v>9.0542327519074872E-2</v>
          </cell>
          <cell r="BF57">
            <v>5.8694077562623417E-2</v>
          </cell>
          <cell r="BG57">
            <v>8.0507402973553077E-2</v>
          </cell>
          <cell r="BH57">
            <v>6.9616313112627712E-2</v>
          </cell>
          <cell r="BI57">
            <v>9.8988165748704421E-2</v>
          </cell>
          <cell r="BJ57">
            <v>8.3062463372973613E-2</v>
          </cell>
          <cell r="BK57">
            <v>8.9788710091518092E-2</v>
          </cell>
          <cell r="BL57">
            <v>7.8052936379920224E-2</v>
          </cell>
          <cell r="BM57">
            <v>9.569285047849356E-2</v>
          </cell>
          <cell r="BN57">
            <v>7.0521618148840573E-2</v>
          </cell>
          <cell r="BO57">
            <v>8.8165895798561308E-2</v>
          </cell>
          <cell r="BP57">
            <v>7.0543816875506052E-2</v>
          </cell>
          <cell r="BQ57">
            <v>5.879576571590539E-2</v>
          </cell>
          <cell r="BR57">
            <v>6.8045807497370034E-2</v>
          </cell>
          <cell r="BS57">
            <v>6.217508901238903E-2</v>
          </cell>
          <cell r="BT57">
            <v>5.6302521008403363E-2</v>
          </cell>
          <cell r="BU57">
            <v>4.3846153846153847E-2</v>
          </cell>
          <cell r="BV57">
            <v>4.1984732824427481E-2</v>
          </cell>
          <cell r="BW57">
            <v>5.2671755725190839E-2</v>
          </cell>
          <cell r="BX57">
            <v>4.7482014388489209E-2</v>
          </cell>
          <cell r="BY57">
            <v>4.4927536231884058E-2</v>
          </cell>
          <cell r="BZ57">
            <v>6.0156250000000001E-2</v>
          </cell>
          <cell r="CA57">
            <v>5.3311793214862679E-2</v>
          </cell>
          <cell r="CB57">
            <v>4.4254658385093168E-2</v>
          </cell>
          <cell r="CC57">
            <v>3.7294015611448399E-2</v>
          </cell>
          <cell r="CD57">
            <v>3.7910699241786014E-2</v>
          </cell>
          <cell r="CE57">
            <v>3.5652173913043476E-2</v>
          </cell>
          <cell r="CF57">
            <v>2.3417172593235037E-2</v>
          </cell>
          <cell r="CG57">
            <v>2.3508137432188065E-2</v>
          </cell>
          <cell r="CH57">
            <v>2.5454545454545455E-2</v>
          </cell>
          <cell r="CI57">
            <v>2.2181146025878003E-2</v>
          </cell>
          <cell r="CJ57">
            <v>4.7279214986619092E-2</v>
          </cell>
          <cell r="CK57">
            <v>1.9193857965451054E-2</v>
          </cell>
          <cell r="CL57">
            <v>2.4500907441016333E-2</v>
          </cell>
          <cell r="CM57">
            <v>1.7890772128060263E-2</v>
          </cell>
          <cell r="CN57">
            <v>2.66798418972332E-2</v>
          </cell>
          <cell r="CO57">
            <v>1.9090909090909092E-2</v>
          </cell>
          <cell r="CP57">
            <v>1.9677996422182469E-2</v>
          </cell>
          <cell r="CQ57">
            <v>2.2149302707136997E-2</v>
          </cell>
          <cell r="CR57">
            <v>2.2867194371152155E-2</v>
          </cell>
          <cell r="CS57">
            <v>1.7361111111111112E-2</v>
          </cell>
          <cell r="CT57">
            <v>1.3888888888888888E-2</v>
          </cell>
          <cell r="CU57">
            <v>2.3316062176165803E-2</v>
          </cell>
          <cell r="CV57">
            <v>1.757631822386679E-2</v>
          </cell>
          <cell r="CW57">
            <v>1.5947467166979361E-2</v>
          </cell>
          <cell r="CX57">
            <v>1.3901760889712697E-2</v>
          </cell>
          <cell r="CY57">
            <v>9.1556459816887082E-3</v>
          </cell>
          <cell r="CZ57">
            <v>1.5080113100848256E-2</v>
          </cell>
          <cell r="DA57">
            <v>1.0111223458038422E-2</v>
          </cell>
          <cell r="DB57">
            <v>1.3429752066115703E-2</v>
          </cell>
          <cell r="DC57">
            <v>1.0714285714285714E-2</v>
          </cell>
          <cell r="DD57">
            <v>1.1862396204033216E-3</v>
          </cell>
          <cell r="DE57">
            <v>9.0805902383654935E-3</v>
          </cell>
          <cell r="DF57">
            <v>9.696969696969697E-3</v>
          </cell>
          <cell r="DG57">
            <v>1.5555555555555555E-2</v>
          </cell>
          <cell r="DH57">
            <v>5.0314465408805029E-3</v>
          </cell>
          <cell r="DI57">
            <v>7.6238881829733167E-3</v>
          </cell>
          <cell r="DJ57">
            <v>9.0497737556561094E-3</v>
          </cell>
          <cell r="DK57">
            <v>3.5971223021582736E-3</v>
          </cell>
          <cell r="DL57">
            <v>7.98175598631699E-3</v>
          </cell>
          <cell r="DM57">
            <v>5.6306306306306304E-3</v>
          </cell>
          <cell r="DN57">
            <v>1.2850467289719626E-2</v>
          </cell>
          <cell r="DO57">
            <v>8.0213903743315516E-3</v>
          </cell>
          <cell r="DP57">
            <v>6.4724919093851136E-3</v>
          </cell>
          <cell r="DQ57">
            <v>9.8846787479406912E-3</v>
          </cell>
          <cell r="DR57">
            <v>6.6115702479338841E-3</v>
          </cell>
          <cell r="DS57">
            <v>3.246753246753247E-3</v>
          </cell>
        </row>
        <row r="58">
          <cell r="A58" t="str">
            <v>Flores</v>
          </cell>
          <cell r="B58">
            <v>9.3385214007782102E-2</v>
          </cell>
          <cell r="C58">
            <v>0.16111111111111112</v>
          </cell>
          <cell r="D58">
            <v>0.12248628884826325</v>
          </cell>
          <cell r="E58">
            <v>0.11320754716981132</v>
          </cell>
          <cell r="F58">
            <v>0.11864406779661017</v>
          </cell>
          <cell r="G58">
            <v>0.12406015037593984</v>
          </cell>
          <cell r="H58">
            <v>0.11091854419410745</v>
          </cell>
          <cell r="I58">
            <v>9.9678456591639875E-2</v>
          </cell>
          <cell r="J58">
            <v>0.11724137931034483</v>
          </cell>
          <cell r="K58">
            <v>0.12414383561643835</v>
          </cell>
          <cell r="L58">
            <v>0.13095238095238096</v>
          </cell>
          <cell r="M58">
            <v>0.125</v>
          </cell>
          <cell r="N58">
            <v>0.14009661835748793</v>
          </cell>
          <cell r="O58">
            <v>0.12434325744308231</v>
          </cell>
          <cell r="P58">
            <v>0.10989010989010989</v>
          </cell>
          <cell r="Q58">
            <v>9.0163934426229511E-2</v>
          </cell>
          <cell r="R58">
            <v>0.14691151919866444</v>
          </cell>
          <cell r="S58">
            <v>8.4175084175084181E-2</v>
          </cell>
          <cell r="T58">
            <v>8.6821705426356588E-2</v>
          </cell>
          <cell r="U58">
            <v>0.12328767123287671</v>
          </cell>
          <cell r="V58">
            <v>0.14959349593495935</v>
          </cell>
          <cell r="W58">
            <v>0.10802469135802469</v>
          </cell>
          <cell r="X58">
            <v>8.5271317829457363E-2</v>
          </cell>
          <cell r="Y58">
            <v>0.13076923076923078</v>
          </cell>
          <cell r="Z58">
            <v>0.1130030959752322</v>
          </cell>
          <cell r="AA58">
            <v>0.1104199066874028</v>
          </cell>
          <cell r="AB58">
            <v>8.7423312883435578E-2</v>
          </cell>
          <cell r="AC58">
            <v>0.10983606557377049</v>
          </cell>
          <cell r="AD58">
            <v>7.4850299401197598E-2</v>
          </cell>
          <cell r="AE58">
            <v>8.8012139605462822E-2</v>
          </cell>
          <cell r="AF58">
            <v>6.6305818673883632E-2</v>
          </cell>
          <cell r="AG58">
            <v>0.10128388017118402</v>
          </cell>
          <cell r="AH58">
            <v>7.334273624823695E-2</v>
          </cell>
          <cell r="AI58">
            <v>9.9688473520249218E-2</v>
          </cell>
          <cell r="AJ58">
            <v>0.12462006079027356</v>
          </cell>
          <cell r="AK58">
            <v>8.5168869309838469E-2</v>
          </cell>
          <cell r="AL58">
            <v>9.9673202614379092E-2</v>
          </cell>
          <cell r="AM58">
            <v>0.1130690161527166</v>
          </cell>
          <cell r="AN58">
            <v>0.11451612903225807</v>
          </cell>
          <cell r="AO58">
            <v>8.2170542635658914E-2</v>
          </cell>
          <cell r="AP58">
            <v>0.10866141732283464</v>
          </cell>
          <cell r="AQ58">
            <v>6.5868263473053898E-2</v>
          </cell>
          <cell r="AR58">
            <v>0.11784511784511785</v>
          </cell>
          <cell r="AS58">
            <v>0.13398692810457516</v>
          </cell>
          <cell r="AT58">
            <v>6.2700964630225078E-2</v>
          </cell>
          <cell r="AU58">
            <v>5.0793650793650794E-2</v>
          </cell>
          <cell r="AV58">
            <v>6.097560975609756E-2</v>
          </cell>
          <cell r="AW58">
            <v>9.2369477911646583E-2</v>
          </cell>
          <cell r="AX58">
            <v>9.6774193548387094E-2</v>
          </cell>
          <cell r="AY58">
            <v>5.5555555555555552E-2</v>
          </cell>
          <cell r="AZ58">
            <v>5.1039697542533083E-2</v>
          </cell>
          <cell r="BA58">
            <v>9.8639455782312924E-2</v>
          </cell>
          <cell r="BB58">
            <v>7.3954983922829579E-2</v>
          </cell>
          <cell r="BC58">
            <v>6.3253012048192767E-2</v>
          </cell>
          <cell r="BD58">
            <v>9.6885813148788927E-2</v>
          </cell>
          <cell r="BE58">
            <v>6.7044119383469117E-2</v>
          </cell>
          <cell r="BF58">
            <v>9.4179684409666564E-2</v>
          </cell>
          <cell r="BG58">
            <v>7.5509051067396776E-2</v>
          </cell>
          <cell r="BH58">
            <v>6.4008198367367597E-2</v>
          </cell>
          <cell r="BI58">
            <v>8.5633332303526585E-2</v>
          </cell>
          <cell r="BJ58">
            <v>8.0099797030824552E-2</v>
          </cell>
          <cell r="BK58">
            <v>2.771417290206938E-2</v>
          </cell>
          <cell r="BL58">
            <v>8.8602178419953284E-2</v>
          </cell>
          <cell r="BM58">
            <v>7.0230015122031128E-2</v>
          </cell>
          <cell r="BN58">
            <v>7.8117660690842139E-2</v>
          </cell>
          <cell r="BO58">
            <v>5.6149243510695446E-2</v>
          </cell>
          <cell r="BP58">
            <v>4.9666539990686133E-2</v>
          </cell>
          <cell r="BQ58">
            <v>6.6446352684051205E-2</v>
          </cell>
          <cell r="BR58">
            <v>3.7735543401998008E-2</v>
          </cell>
          <cell r="BS58">
            <v>4.0858632371024703E-2</v>
          </cell>
          <cell r="BT58">
            <v>4.3749999999999997E-2</v>
          </cell>
          <cell r="BU58">
            <v>2.8260869565217391E-2</v>
          </cell>
          <cell r="BV58">
            <v>2.7659574468085105E-2</v>
          </cell>
          <cell r="BW58">
            <v>4.4230769230769233E-2</v>
          </cell>
          <cell r="BX58">
            <v>4.8214285714285716E-2</v>
          </cell>
          <cell r="BY58">
            <v>4.2857142857142858E-2</v>
          </cell>
          <cell r="BZ58">
            <v>3.0508474576271188E-2</v>
          </cell>
          <cell r="CA58">
            <v>4.1036717062634988E-2</v>
          </cell>
          <cell r="CB58">
            <v>3.9639639639639637E-2</v>
          </cell>
          <cell r="CC58">
            <v>2.1999999999999999E-2</v>
          </cell>
          <cell r="CD58">
            <v>4.9250535331905779E-2</v>
          </cell>
          <cell r="CE58">
            <v>3.4313725490196081E-2</v>
          </cell>
          <cell r="CF58">
            <v>2.0689655172413793E-2</v>
          </cell>
          <cell r="CG58">
            <v>1.1682242990654205E-2</v>
          </cell>
          <cell r="CH58">
            <v>2.6970954356846474E-2</v>
          </cell>
          <cell r="CI58">
            <v>2.6315789473684209E-2</v>
          </cell>
          <cell r="CJ58">
            <v>1.4634146341463415E-2</v>
          </cell>
          <cell r="CK58">
            <v>1.7374517374517374E-2</v>
          </cell>
          <cell r="CL58">
            <v>1.4084507042253521E-2</v>
          </cell>
          <cell r="CM58">
            <v>1.5909090909090907E-2</v>
          </cell>
          <cell r="CN58">
            <v>1.5765765765765764E-2</v>
          </cell>
          <cell r="CO58">
            <v>1.1312217194570135E-2</v>
          </cell>
          <cell r="CP58">
            <v>2.0920502092050207E-3</v>
          </cell>
          <cell r="CQ58">
            <v>1.7429193899782137E-2</v>
          </cell>
          <cell r="CR58">
            <v>1.932367149758454E-2</v>
          </cell>
          <cell r="CS58">
            <v>9.5465393794749408E-3</v>
          </cell>
          <cell r="CT58">
            <v>1.9093078758949882E-2</v>
          </cell>
          <cell r="CU58">
            <v>1.1933174224343675E-2</v>
          </cell>
          <cell r="CV58">
            <v>7.5949367088607592E-3</v>
          </cell>
          <cell r="CW58">
            <v>1.2658227848101266E-2</v>
          </cell>
          <cell r="CX58">
            <v>1.8134715025906734E-2</v>
          </cell>
          <cell r="CY58">
            <v>7.8947368421052634E-3</v>
          </cell>
          <cell r="CZ58">
            <v>1.2626262626262626E-2</v>
          </cell>
          <cell r="DA58">
            <v>1.1764705882352941E-2</v>
          </cell>
          <cell r="DB58">
            <v>1.6908212560386472E-2</v>
          </cell>
          <cell r="DC58">
            <v>1.2500000000000001E-2</v>
          </cell>
          <cell r="DD58">
            <v>1.8633540372670808E-2</v>
          </cell>
          <cell r="DE58">
            <v>6.2305295950155761E-3</v>
          </cell>
          <cell r="DF58">
            <v>6.3091482649842269E-3</v>
          </cell>
          <cell r="DG58">
            <v>8.7976539589442824E-3</v>
          </cell>
          <cell r="DH58">
            <v>5.9347181008902079E-3</v>
          </cell>
          <cell r="DI58">
            <v>1.2307692307692308E-2</v>
          </cell>
          <cell r="DJ58">
            <v>3.0120481927710845E-3</v>
          </cell>
          <cell r="DK58">
            <v>5.3191489361702126E-3</v>
          </cell>
          <cell r="DL58">
            <v>3.2573289902280132E-3</v>
          </cell>
          <cell r="DM58">
            <v>8.5714285714285719E-3</v>
          </cell>
          <cell r="DN58">
            <v>1.1661807580174927E-2</v>
          </cell>
          <cell r="DO58">
            <v>0</v>
          </cell>
          <cell r="DP58">
            <v>1.7543859649122806E-2</v>
          </cell>
          <cell r="DQ58">
            <v>3.9215686274509803E-3</v>
          </cell>
          <cell r="DR58">
            <v>3.8022813688212928E-3</v>
          </cell>
          <cell r="DS58">
            <v>9.0497737556561094E-3</v>
          </cell>
        </row>
        <row r="59">
          <cell r="A59" t="str">
            <v>Florida</v>
          </cell>
          <cell r="B59">
            <v>7.8042328042328038E-2</v>
          </cell>
          <cell r="C59">
            <v>7.2649572649572655E-2</v>
          </cell>
          <cell r="D59">
            <v>7.9295154185022032E-2</v>
          </cell>
          <cell r="E59">
            <v>9.504373177842565E-2</v>
          </cell>
          <cell r="F59">
            <v>7.6923076923076927E-2</v>
          </cell>
          <cell r="G59">
            <v>5.9483726150392817E-2</v>
          </cell>
          <cell r="H59">
            <v>8.6100168823860443E-2</v>
          </cell>
          <cell r="I59">
            <v>0.11286681715575621</v>
          </cell>
          <cell r="J59">
            <v>0.10222729868646488</v>
          </cell>
          <cell r="K59">
            <v>9.6468561584840656E-2</v>
          </cell>
          <cell r="L59">
            <v>9.0646651270207851E-2</v>
          </cell>
          <cell r="M59">
            <v>8.6225026288117776E-2</v>
          </cell>
          <cell r="N59">
            <v>0.10438074634937804</v>
          </cell>
          <cell r="O59">
            <v>5.7654075546719682E-2</v>
          </cell>
          <cell r="P59">
            <v>6.9394096323148621E-2</v>
          </cell>
          <cell r="Q59">
            <v>7.650273224043716E-2</v>
          </cell>
          <cell r="R59">
            <v>0.11865312667022983</v>
          </cell>
          <cell r="S59">
            <v>7.9005524861878451E-2</v>
          </cell>
          <cell r="T59">
            <v>9.1803278688524587E-2</v>
          </cell>
          <cell r="U59">
            <v>7.9748163693599161E-2</v>
          </cell>
          <cell r="V59">
            <v>0.10358342665173573</v>
          </cell>
          <cell r="W59">
            <v>0.10312671420735052</v>
          </cell>
          <cell r="X59">
            <v>8.3822744260544577E-2</v>
          </cell>
          <cell r="Y59">
            <v>7.9956780118854667E-2</v>
          </cell>
          <cell r="Z59">
            <v>8.0064481461579795E-2</v>
          </cell>
          <cell r="AA59">
            <v>0.11704422869471413</v>
          </cell>
          <cell r="AB59">
            <v>7.5562700964630219E-2</v>
          </cell>
          <cell r="AC59">
            <v>8.4801762114537452E-2</v>
          </cell>
          <cell r="AD59">
            <v>8.3111347895578044E-2</v>
          </cell>
          <cell r="AE59">
            <v>8.2515868436237733E-2</v>
          </cell>
          <cell r="AF59">
            <v>8.5928489042675887E-2</v>
          </cell>
          <cell r="AG59">
            <v>8.3621683967704724E-2</v>
          </cell>
          <cell r="AH59">
            <v>7.5504322766570611E-2</v>
          </cell>
          <cell r="AI59">
            <v>8.7033747779751328E-2</v>
          </cell>
          <cell r="AJ59">
            <v>6.8707058088694567E-2</v>
          </cell>
          <cell r="AK59">
            <v>7.5552825552825553E-2</v>
          </cell>
          <cell r="AL59">
            <v>8.2392026578073096E-2</v>
          </cell>
          <cell r="AM59">
            <v>7.2526121696373694E-2</v>
          </cell>
          <cell r="AN59">
            <v>6.9100391134289438E-2</v>
          </cell>
          <cell r="AO59">
            <v>6.3063063063063057E-2</v>
          </cell>
          <cell r="AP59">
            <v>6.6401062416998669E-2</v>
          </cell>
          <cell r="AQ59">
            <v>7.039473684210526E-2</v>
          </cell>
          <cell r="AR59">
            <v>6.8597560975609762E-2</v>
          </cell>
          <cell r="AS59">
            <v>7.0391872278664738E-2</v>
          </cell>
          <cell r="AT59">
            <v>6.1700526711813392E-2</v>
          </cell>
          <cell r="AU59">
            <v>4.8399687743950037E-2</v>
          </cell>
          <cell r="AV59">
            <v>3.1956352299298517E-2</v>
          </cell>
          <cell r="AW59">
            <v>4.0803515379786569E-2</v>
          </cell>
          <cell r="AX59">
            <v>4.3161434977578475E-2</v>
          </cell>
          <cell r="AY59">
            <v>2.578167855183763E-2</v>
          </cell>
          <cell r="AZ59">
            <v>5.9674502712477394E-2</v>
          </cell>
          <cell r="BA59">
            <v>4.6114432109308282E-2</v>
          </cell>
          <cell r="BB59">
            <v>4.5256744995648392E-2</v>
          </cell>
          <cell r="BC59">
            <v>4.2461005199306762E-2</v>
          </cell>
          <cell r="BD59">
            <v>4.4498381877022652E-2</v>
          </cell>
          <cell r="BE59">
            <v>4.9713630018033937E-2</v>
          </cell>
          <cell r="BF59">
            <v>6.2391200865080411E-2</v>
          </cell>
          <cell r="BG59">
            <v>7.0289878038018352E-2</v>
          </cell>
          <cell r="BH59">
            <v>5.83090567027124E-2</v>
          </cell>
          <cell r="BI59">
            <v>5.2022806398576808E-2</v>
          </cell>
          <cell r="BJ59">
            <v>5.6629274995749941E-2</v>
          </cell>
          <cell r="BK59">
            <v>4.5975246907195066E-2</v>
          </cell>
          <cell r="BL59">
            <v>3.6020000328345597E-2</v>
          </cell>
          <cell r="BM59">
            <v>4.7513959497096504E-2</v>
          </cell>
          <cell r="BN59">
            <v>4.0029528708312369E-2</v>
          </cell>
          <cell r="BO59">
            <v>6.3989632646171801E-2</v>
          </cell>
          <cell r="BP59">
            <v>4.2383040172888922E-2</v>
          </cell>
          <cell r="BQ59">
            <v>5.4255630538507578E-2</v>
          </cell>
          <cell r="BR59">
            <v>5.7340181808009885E-2</v>
          </cell>
          <cell r="BS59">
            <v>4.5575829459345539E-2</v>
          </cell>
          <cell r="BT59">
            <v>3.3636363636363638E-2</v>
          </cell>
          <cell r="BU59">
            <v>4.2857142857142858E-2</v>
          </cell>
          <cell r="BV59">
            <v>3.5238095238095235E-2</v>
          </cell>
          <cell r="BW59">
            <v>3.884297520661157E-2</v>
          </cell>
          <cell r="BX59">
            <v>3.5937499999999997E-2</v>
          </cell>
          <cell r="BY59">
            <v>2.2222222222222223E-2</v>
          </cell>
          <cell r="BZ59">
            <v>4.4776119402985072E-2</v>
          </cell>
          <cell r="CA59">
            <v>3.0493273542600896E-2</v>
          </cell>
          <cell r="CB59">
            <v>4.0457343887423045E-2</v>
          </cell>
          <cell r="CC59">
            <v>4.218600191754554E-2</v>
          </cell>
          <cell r="CD59">
            <v>3.7900874635568516E-2</v>
          </cell>
          <cell r="CE59">
            <v>3.1976744186046513E-2</v>
          </cell>
          <cell r="CF59">
            <v>3.1115879828326181E-2</v>
          </cell>
          <cell r="CG59">
            <v>2.5193798449612403E-2</v>
          </cell>
          <cell r="CH59">
            <v>2.5466893039049237E-2</v>
          </cell>
          <cell r="CI59">
            <v>3.1695721077654518E-2</v>
          </cell>
          <cell r="CJ59">
            <v>2.5598678777869529E-2</v>
          </cell>
          <cell r="CK59">
            <v>2.3333333333333334E-2</v>
          </cell>
          <cell r="CL59">
            <v>2.5595763459841131E-2</v>
          </cell>
          <cell r="CM59">
            <v>1.981132075471698E-2</v>
          </cell>
          <cell r="CN59">
            <v>1.1818181818181818E-2</v>
          </cell>
          <cell r="CO59">
            <v>1.3526570048309179E-2</v>
          </cell>
          <cell r="CP59">
            <v>1.7383348581884721E-2</v>
          </cell>
          <cell r="CQ59">
            <v>1.7241379310344827E-2</v>
          </cell>
          <cell r="CR59">
            <v>1.5715467328370553E-2</v>
          </cell>
          <cell r="CS59">
            <v>9.8199672667757774E-3</v>
          </cell>
          <cell r="CT59">
            <v>2.1276595744680851E-2</v>
          </cell>
          <cell r="CU59">
            <v>1.466544454628781E-2</v>
          </cell>
          <cell r="CV59">
            <v>9.8328416912487702E-3</v>
          </cell>
          <cell r="CW59">
            <v>7.7369439071566732E-3</v>
          </cell>
          <cell r="CX59">
            <v>1.5779092702169626E-2</v>
          </cell>
          <cell r="CY59">
            <v>1.452081316553727E-2</v>
          </cell>
          <cell r="CZ59">
            <v>1.1201629327902239E-2</v>
          </cell>
          <cell r="DA59">
            <v>8.8669950738916262E-3</v>
          </cell>
          <cell r="DB59">
            <v>9.99000999000999E-3</v>
          </cell>
          <cell r="DC59">
            <v>5.2966101694915252E-3</v>
          </cell>
          <cell r="DD59">
            <v>1.4823261117445839E-2</v>
          </cell>
          <cell r="DE59">
            <v>1.2775842044134728E-2</v>
          </cell>
          <cell r="DF59">
            <v>9.5238095238095247E-3</v>
          </cell>
          <cell r="DG59">
            <v>7.743362831858407E-3</v>
          </cell>
          <cell r="DH59">
            <v>7.8475336322869956E-3</v>
          </cell>
          <cell r="DI59">
            <v>1.1520737327188941E-2</v>
          </cell>
          <cell r="DJ59">
            <v>4.5662100456621002E-3</v>
          </cell>
          <cell r="DK59">
            <v>3.4522439585730723E-3</v>
          </cell>
          <cell r="DL59">
            <v>8.1018518518518514E-3</v>
          </cell>
          <cell r="DM59">
            <v>1.0791366906474821E-2</v>
          </cell>
          <cell r="DN59">
            <v>2.4390243902439024E-3</v>
          </cell>
          <cell r="DO59">
            <v>1.3947001394700139E-2</v>
          </cell>
          <cell r="DP59">
            <v>4.076086956521739E-3</v>
          </cell>
          <cell r="DQ59">
            <v>4.3731778425655978E-3</v>
          </cell>
          <cell r="DR59">
            <v>2.967359050445104E-3</v>
          </cell>
          <cell r="DS59">
            <v>1.098901098901099E-2</v>
          </cell>
        </row>
        <row r="60">
          <cell r="A60" t="str">
            <v>Lavalleja</v>
          </cell>
          <cell r="B60">
            <v>9.947643979057591E-2</v>
          </cell>
          <cell r="C60">
            <v>8.3544303797468356E-2</v>
          </cell>
          <cell r="D60">
            <v>9.2377260981912152E-2</v>
          </cell>
          <cell r="E60">
            <v>9.0095465393794746E-2</v>
          </cell>
          <cell r="F60">
            <v>0.08</v>
          </cell>
          <cell r="G60">
            <v>7.0041200706297824E-2</v>
          </cell>
          <cell r="H60">
            <v>9.5016030311862426E-2</v>
          </cell>
          <cell r="I60">
            <v>0.1195150115473441</v>
          </cell>
          <cell r="J60">
            <v>9.7600872410032721E-2</v>
          </cell>
          <cell r="K60">
            <v>9.6153846153846159E-2</v>
          </cell>
          <cell r="L60">
            <v>9.4684385382059796E-2</v>
          </cell>
          <cell r="M60">
            <v>8.7113402061855666E-2</v>
          </cell>
          <cell r="N60">
            <v>8.4803921568627455E-2</v>
          </cell>
          <cell r="O60">
            <v>6.2561094819159335E-2</v>
          </cell>
          <cell r="P60">
            <v>6.9532908704883226E-2</v>
          </cell>
          <cell r="Q60">
            <v>8.5198555956678704E-2</v>
          </cell>
          <cell r="R60">
            <v>9.7322348094747685E-2</v>
          </cell>
          <cell r="S60">
            <v>8.4356647090229581E-2</v>
          </cell>
          <cell r="T60">
            <v>8.6026852312282451E-2</v>
          </cell>
          <cell r="U60">
            <v>9.0398365679264556E-2</v>
          </cell>
          <cell r="V60">
            <v>0.10181451612903226</v>
          </cell>
          <cell r="W60">
            <v>0.1015744032503809</v>
          </cell>
          <cell r="X60">
            <v>6.2045564711585073E-2</v>
          </cell>
          <cell r="Y60">
            <v>8.4812623274161739E-2</v>
          </cell>
          <cell r="Z60">
            <v>7.9650315687226803E-2</v>
          </cell>
          <cell r="AA60">
            <v>0.11060142711518858</v>
          </cell>
          <cell r="AB60">
            <v>6.1143984220907298E-2</v>
          </cell>
          <cell r="AC60">
            <v>9.4349142280524725E-2</v>
          </cell>
          <cell r="AD60">
            <v>0.1007125890736342</v>
          </cell>
          <cell r="AE60">
            <v>7.7685088633993746E-2</v>
          </cell>
          <cell r="AF60">
            <v>7.5711382113821141E-2</v>
          </cell>
          <cell r="AG60">
            <v>8.2694414019715223E-2</v>
          </cell>
          <cell r="AH60">
            <v>9.1533180778032033E-2</v>
          </cell>
          <cell r="AI60">
            <v>7.9225352112676062E-2</v>
          </cell>
          <cell r="AJ60">
            <v>9.6984033116499113E-2</v>
          </cell>
          <cell r="AK60">
            <v>8.4900284900284895E-2</v>
          </cell>
          <cell r="AL60">
            <v>8.3384805435453985E-2</v>
          </cell>
          <cell r="AM60">
            <v>9.2457420924574207E-2</v>
          </cell>
          <cell r="AN60">
            <v>7.477820025348543E-2</v>
          </cell>
          <cell r="AO60">
            <v>6.6157760814249358E-2</v>
          </cell>
          <cell r="AP60">
            <v>7.5218267293485561E-2</v>
          </cell>
          <cell r="AQ60">
            <v>7.2590738423028781E-2</v>
          </cell>
          <cell r="AR60">
            <v>7.6923076923076927E-2</v>
          </cell>
          <cell r="AS60">
            <v>8.3953960731211918E-2</v>
          </cell>
          <cell r="AT60">
            <v>4.5484949832775921E-2</v>
          </cell>
          <cell r="AU60">
            <v>3.9227166276346606E-2</v>
          </cell>
          <cell r="AV60">
            <v>3.7662337662337661E-2</v>
          </cell>
          <cell r="AW60">
            <v>4.3506078055022393E-2</v>
          </cell>
          <cell r="AX60">
            <v>4.5207956600361664E-2</v>
          </cell>
          <cell r="AY60">
            <v>2.7475130270014213E-2</v>
          </cell>
          <cell r="AZ60">
            <v>5.0969131371141424E-2</v>
          </cell>
          <cell r="BA60">
            <v>5.0522648083623695E-2</v>
          </cell>
          <cell r="BB60">
            <v>5.2951388888888888E-2</v>
          </cell>
          <cell r="BC60">
            <v>4.4982698961937718E-2</v>
          </cell>
          <cell r="BD60">
            <v>4.8060708263069137E-2</v>
          </cell>
          <cell r="BE60">
            <v>5.9698730709533562E-2</v>
          </cell>
          <cell r="BF60">
            <v>4.0247547706109187E-2</v>
          </cell>
          <cell r="BG60">
            <v>5.2678108643929307E-2</v>
          </cell>
          <cell r="BH60">
            <v>3.6688819526135959E-2</v>
          </cell>
          <cell r="BI60">
            <v>5.7374853604464794E-2</v>
          </cell>
          <cell r="BJ60">
            <v>4.2289652209479403E-2</v>
          </cell>
          <cell r="BK60">
            <v>4.1345226885356266E-2</v>
          </cell>
          <cell r="BL60">
            <v>4.7827183506142526E-2</v>
          </cell>
          <cell r="BM60">
            <v>5.9206685217153159E-2</v>
          </cell>
          <cell r="BN60">
            <v>6.6422421966260539E-2</v>
          </cell>
          <cell r="BO60">
            <v>6.0513579886776699E-2</v>
          </cell>
          <cell r="BP60">
            <v>5.0559672642750596E-2</v>
          </cell>
          <cell r="BQ60">
            <v>4.7166320220968942E-2</v>
          </cell>
          <cell r="BR60">
            <v>4.9468105048215971E-2</v>
          </cell>
          <cell r="BS60">
            <v>4.6095839923414206E-2</v>
          </cell>
          <cell r="BT60">
            <v>4.2741935483870966E-2</v>
          </cell>
          <cell r="BU60">
            <v>4.3200000000000002E-2</v>
          </cell>
          <cell r="BV60">
            <v>3.6134453781512609E-2</v>
          </cell>
          <cell r="BW60">
            <v>3.0578512396694214E-2</v>
          </cell>
          <cell r="BX60">
            <v>4.5192307692307691E-2</v>
          </cell>
          <cell r="BY60">
            <v>3.9830508474576268E-2</v>
          </cell>
          <cell r="BZ60">
            <v>3.7704918032786888E-2</v>
          </cell>
          <cell r="CA60">
            <v>3.87736699729486E-2</v>
          </cell>
          <cell r="CB60">
            <v>3.7137681159420288E-2</v>
          </cell>
          <cell r="CC60">
            <v>2.2637795275590553E-2</v>
          </cell>
          <cell r="CD60">
            <v>2.3307436182019976E-2</v>
          </cell>
          <cell r="CE60">
            <v>3.9112050739957716E-2</v>
          </cell>
          <cell r="CF60">
            <v>3.4334763948497854E-2</v>
          </cell>
          <cell r="CG60">
            <v>2.4390243902439025E-2</v>
          </cell>
          <cell r="CH60">
            <v>2.88659793814433E-2</v>
          </cell>
          <cell r="CI60">
            <v>3.3081285444234401E-2</v>
          </cell>
          <cell r="CJ60">
            <v>3.6644165863066541E-2</v>
          </cell>
          <cell r="CK60">
            <v>2.3809523809523808E-2</v>
          </cell>
          <cell r="CL60">
            <v>1.8339768339768341E-2</v>
          </cell>
          <cell r="CM60">
            <v>1.6314779270633396E-2</v>
          </cell>
          <cell r="CN60">
            <v>2.0054694621695533E-2</v>
          </cell>
          <cell r="CO60">
            <v>1.4177693761814745E-2</v>
          </cell>
          <cell r="CP60">
            <v>1.6146393972012917E-2</v>
          </cell>
          <cell r="CQ60">
            <v>1.2727272727272728E-2</v>
          </cell>
          <cell r="CR60">
            <v>2.1428571428571429E-2</v>
          </cell>
          <cell r="CS60">
            <v>2.3517382413087935E-2</v>
          </cell>
          <cell r="CT60">
            <v>1.7382413087934562E-2</v>
          </cell>
          <cell r="CU60">
            <v>1.3901760889712697E-2</v>
          </cell>
          <cell r="CV60">
            <v>1.4760147601476014E-2</v>
          </cell>
          <cell r="CW60">
            <v>8.1383519837232958E-3</v>
          </cell>
          <cell r="CX60">
            <v>8.658008658008658E-3</v>
          </cell>
          <cell r="CY60">
            <v>1.2035010940919038E-2</v>
          </cell>
          <cell r="CZ60">
            <v>1.5945330296127564E-2</v>
          </cell>
          <cell r="DA60">
            <v>2.1028037383177569E-2</v>
          </cell>
          <cell r="DB60">
            <v>1.0123734533183352E-2</v>
          </cell>
          <cell r="DC60">
            <v>1.3613861386138614E-2</v>
          </cell>
          <cell r="DD60">
            <v>1.1124845488257108E-2</v>
          </cell>
          <cell r="DE60">
            <v>8.7939698492462311E-3</v>
          </cell>
          <cell r="DF60">
            <v>6.5616797900262466E-3</v>
          </cell>
          <cell r="DG60">
            <v>1.1004126547455296E-2</v>
          </cell>
          <cell r="DH60">
            <v>5.8139534883720929E-3</v>
          </cell>
          <cell r="DI60">
            <v>5.5172413793103444E-3</v>
          </cell>
          <cell r="DJ60">
            <v>1.8018018018018018E-2</v>
          </cell>
          <cell r="DK60">
            <v>1.4945652173913044E-2</v>
          </cell>
          <cell r="DL60">
            <v>8.1855388813096858E-3</v>
          </cell>
          <cell r="DM60">
            <v>6.3451776649746192E-3</v>
          </cell>
          <cell r="DN60">
            <v>1.6736401673640166E-2</v>
          </cell>
          <cell r="DO60">
            <v>3.0534351145038168E-3</v>
          </cell>
          <cell r="DP60">
            <v>8.1433224755700327E-3</v>
          </cell>
          <cell r="DQ60">
            <v>1.7482517482517483E-3</v>
          </cell>
          <cell r="DR60">
            <v>3.9447731755424065E-3</v>
          </cell>
          <cell r="DS60">
            <v>1.348747591522158E-2</v>
          </cell>
        </row>
        <row r="61">
          <cell r="A61" t="str">
            <v>Maldonado</v>
          </cell>
          <cell r="B61">
            <v>0.10484780157835401</v>
          </cell>
          <cell r="C61">
            <v>7.9347826086956522E-2</v>
          </cell>
          <cell r="D61">
            <v>5.0632911392405063E-2</v>
          </cell>
          <cell r="E61">
            <v>0.10075839653304441</v>
          </cell>
          <cell r="F61">
            <v>9.1538052155401811E-2</v>
          </cell>
          <cell r="G61">
            <v>8.263598326359832E-2</v>
          </cell>
          <cell r="H61">
            <v>8.8922764227642281E-2</v>
          </cell>
          <cell r="I61">
            <v>9.4861660079051377E-2</v>
          </cell>
          <cell r="J61">
            <v>9.6172718351324835E-2</v>
          </cell>
          <cell r="K61">
            <v>8.7643678160919544E-2</v>
          </cell>
          <cell r="L61">
            <v>7.9513564078578111E-2</v>
          </cell>
          <cell r="M61">
            <v>9.8991750687442717E-2</v>
          </cell>
          <cell r="N61">
            <v>0.10714285714285714</v>
          </cell>
          <cell r="O61">
            <v>7.1047957371225573E-2</v>
          </cell>
          <cell r="P61">
            <v>8.5106382978723402E-2</v>
          </cell>
          <cell r="Q61">
            <v>7.1818181818181823E-2</v>
          </cell>
          <cell r="R61">
            <v>0.10607521697203472</v>
          </cell>
          <cell r="S61">
            <v>9.0410958904109592E-2</v>
          </cell>
          <cell r="T61">
            <v>7.4823943661971828E-2</v>
          </cell>
          <cell r="U61">
            <v>9.4138543516873896E-2</v>
          </cell>
          <cell r="V61">
            <v>0.10820559062218214</v>
          </cell>
          <cell r="W61">
            <v>8.1996434937611412E-2</v>
          </cell>
          <cell r="X61">
            <v>6.6151202749140894E-2</v>
          </cell>
          <cell r="Y61">
            <v>7.9734219269102985E-2</v>
          </cell>
          <cell r="Z61">
            <v>9.8984771573604066E-2</v>
          </cell>
          <cell r="AA61">
            <v>0.11320754716981132</v>
          </cell>
          <cell r="AB61">
            <v>8.1166272655634364E-2</v>
          </cell>
          <cell r="AC61">
            <v>0.11263073209975864</v>
          </cell>
          <cell r="AD61">
            <v>9.8234842670759784E-2</v>
          </cell>
          <cell r="AE61">
            <v>8.1679389312977094E-2</v>
          </cell>
          <cell r="AF61">
            <v>7.6014760147601473E-2</v>
          </cell>
          <cell r="AG61">
            <v>0.1111111111111111</v>
          </cell>
          <cell r="AH61">
            <v>8.2980524978831502E-2</v>
          </cell>
          <cell r="AI61">
            <v>9.1584158415841582E-2</v>
          </cell>
          <cell r="AJ61">
            <v>8.1952920662598086E-2</v>
          </cell>
          <cell r="AK61">
            <v>7.0205479452054798E-2</v>
          </cell>
          <cell r="AL61">
            <v>9.0990990990990991E-2</v>
          </cell>
          <cell r="AM61">
            <v>6.6911090742438131E-2</v>
          </cell>
          <cell r="AN61">
            <v>7.6997112608277185E-2</v>
          </cell>
          <cell r="AO61">
            <v>8.2604470359572399E-2</v>
          </cell>
          <cell r="AP61">
            <v>7.4038461538461539E-2</v>
          </cell>
          <cell r="AQ61">
            <v>8.0428954423592491E-2</v>
          </cell>
          <cell r="AR61">
            <v>8.9866156787762913E-2</v>
          </cell>
          <cell r="AS61">
            <v>5.6530214424951264E-2</v>
          </cell>
          <cell r="AT61">
            <v>4.4204322200392929E-2</v>
          </cell>
          <cell r="AU61">
            <v>4.5666356011183594E-2</v>
          </cell>
          <cell r="AV61">
            <v>5.2427184466019419E-2</v>
          </cell>
          <cell r="AW61">
            <v>4.0094339622641507E-2</v>
          </cell>
          <cell r="AX61">
            <v>4.1728763040238454E-2</v>
          </cell>
          <cell r="AY61">
            <v>3.415409054805401E-2</v>
          </cell>
          <cell r="AZ61">
            <v>4.8096192384769539E-2</v>
          </cell>
          <cell r="BA61">
            <v>4.4032444959443799E-2</v>
          </cell>
          <cell r="BB61">
            <v>4.8635824436536183E-2</v>
          </cell>
          <cell r="BC61">
            <v>4.9539170506912443E-2</v>
          </cell>
          <cell r="BD61">
            <v>4.6893317702227433E-2</v>
          </cell>
          <cell r="BE61">
            <v>3.6703812356767999E-2</v>
          </cell>
          <cell r="BF61">
            <v>4.1521511101795978E-2</v>
          </cell>
          <cell r="BG61">
            <v>6.2583019182547717E-2</v>
          </cell>
          <cell r="BH61">
            <v>4.726553309343675E-2</v>
          </cell>
          <cell r="BI61">
            <v>7.0416902199810033E-2</v>
          </cell>
          <cell r="BJ61">
            <v>4.1131290235428442E-2</v>
          </cell>
          <cell r="BK61">
            <v>5.231496198704623E-2</v>
          </cell>
          <cell r="BL61">
            <v>5.6105786522355101E-2</v>
          </cell>
          <cell r="BM61">
            <v>6.452348716674644E-2</v>
          </cell>
          <cell r="BN61">
            <v>3.9573325501214368E-2</v>
          </cell>
          <cell r="BO61">
            <v>5.7155124508140559E-2</v>
          </cell>
          <cell r="BP61">
            <v>4.6900455227459809E-2</v>
          </cell>
          <cell r="BQ61">
            <v>4.1474561325640549E-2</v>
          </cell>
          <cell r="BR61">
            <v>5.4391961596330501E-2</v>
          </cell>
          <cell r="BS61">
            <v>5.1526926219905587E-2</v>
          </cell>
          <cell r="BT61">
            <v>4.8760330578512395E-2</v>
          </cell>
          <cell r="BU61">
            <v>3.888888888888889E-2</v>
          </cell>
          <cell r="BV61">
            <v>4.06015037593985E-2</v>
          </cell>
          <cell r="BW61">
            <v>3.8095238095238099E-2</v>
          </cell>
          <cell r="BX61">
            <v>2.7397260273972601E-2</v>
          </cell>
          <cell r="BY61">
            <v>4.4827586206896551E-2</v>
          </cell>
          <cell r="BZ61">
            <v>3.6305732484076432E-2</v>
          </cell>
          <cell r="CA61">
            <v>3.9405684754521962E-2</v>
          </cell>
          <cell r="CB61">
            <v>3.5087719298245612E-2</v>
          </cell>
          <cell r="CC61">
            <v>2.3767082590612002E-2</v>
          </cell>
          <cell r="CD61">
            <v>3.4813925570228089E-2</v>
          </cell>
          <cell r="CE61">
            <v>2.9152915291529153E-2</v>
          </cell>
          <cell r="CF61">
            <v>2.2783251231527094E-2</v>
          </cell>
          <cell r="CG61">
            <v>3.1685678073510776E-2</v>
          </cell>
          <cell r="CH61">
            <v>2.5830258302583026E-2</v>
          </cell>
          <cell r="CI61">
            <v>3.272727272727273E-2</v>
          </cell>
          <cell r="CJ61">
            <v>2.485549132947977E-2</v>
          </cell>
          <cell r="CK61">
            <v>2.1337946943483274E-2</v>
          </cell>
          <cell r="CL61">
            <v>1.7299107142857144E-2</v>
          </cell>
          <cell r="CM61">
            <v>1.579520697167756E-2</v>
          </cell>
          <cell r="CN61">
            <v>1.829924650161464E-2</v>
          </cell>
          <cell r="CO61">
            <v>2.0439448134900357E-2</v>
          </cell>
          <cell r="CP61">
            <v>1.942690626517727E-2</v>
          </cell>
          <cell r="CQ61">
            <v>1.566696508504924E-2</v>
          </cell>
          <cell r="CR61">
            <v>1.8867924528301886E-2</v>
          </cell>
          <cell r="CS61">
            <v>1.6427969671440605E-2</v>
          </cell>
          <cell r="CT61">
            <v>1.5585509688289806E-2</v>
          </cell>
          <cell r="CU61">
            <v>1.3124470787468248E-2</v>
          </cell>
          <cell r="CV61">
            <v>1.2746710526315789E-2</v>
          </cell>
          <cell r="CW61">
            <v>1.5944399018806215E-2</v>
          </cell>
          <cell r="CX61">
            <v>1.7820980153908466E-2</v>
          </cell>
          <cell r="CY61">
            <v>1.3738551207327226E-2</v>
          </cell>
          <cell r="CZ61">
            <v>1.4675052410901468E-2</v>
          </cell>
          <cell r="DA61">
            <v>1.2809187279151944E-2</v>
          </cell>
          <cell r="DB61">
            <v>1.5002143163309044E-2</v>
          </cell>
          <cell r="DC61">
            <v>1.3924050632911392E-2</v>
          </cell>
          <cell r="DD61">
            <v>1.0008340283569641E-2</v>
          </cell>
          <cell r="DE61">
            <v>9.3155123531794247E-3</v>
          </cell>
          <cell r="DF61">
            <v>9.1248444628784734E-3</v>
          </cell>
          <cell r="DG61">
            <v>8.8960776384957533E-3</v>
          </cell>
          <cell r="DH61">
            <v>4.1999160016799666E-3</v>
          </cell>
          <cell r="DI61">
            <v>6.7396798652064023E-3</v>
          </cell>
          <cell r="DJ61">
            <v>1.0356731875719217E-2</v>
          </cell>
          <cell r="DK61">
            <v>6.5813528336380253E-3</v>
          </cell>
          <cell r="DL61">
            <v>7.2519083969465646E-3</v>
          </cell>
          <cell r="DM61">
            <v>6.216006216006216E-3</v>
          </cell>
          <cell r="DN61">
            <v>7.5156576200417534E-3</v>
          </cell>
          <cell r="DO61">
            <v>5.9523809523809521E-3</v>
          </cell>
          <cell r="DP61">
            <v>5.893909626719057E-3</v>
          </cell>
          <cell r="DQ61">
            <v>4.5431600201918223E-3</v>
          </cell>
          <cell r="DR61">
            <v>8.6206896551724137E-3</v>
          </cell>
          <cell r="DS61">
            <v>2.7533039647577094E-3</v>
          </cell>
        </row>
        <row r="62">
          <cell r="A62" t="str">
            <v>Paysandu</v>
          </cell>
          <cell r="B62">
            <v>0.1008668242710796</v>
          </cell>
          <cell r="C62">
            <v>0.11186696900982615</v>
          </cell>
          <cell r="D62">
            <v>0.1164972634870993</v>
          </cell>
          <cell r="E62">
            <v>0.1005251312828207</v>
          </cell>
          <cell r="F62">
            <v>8.7593984962406016E-2</v>
          </cell>
          <cell r="G62">
            <v>7.4604370761115299E-2</v>
          </cell>
          <cell r="H62">
            <v>9.2248062015503882E-2</v>
          </cell>
          <cell r="I62">
            <v>0.11093375897845172</v>
          </cell>
          <cell r="J62">
            <v>0.12201963534361851</v>
          </cell>
          <cell r="K62">
            <v>0.11304656949875577</v>
          </cell>
          <cell r="L62">
            <v>0.10382119682768565</v>
          </cell>
          <cell r="M62">
            <v>0.13626373626373625</v>
          </cell>
          <cell r="N62">
            <v>0.11012311901504789</v>
          </cell>
          <cell r="O62">
            <v>9.6354166666666671E-2</v>
          </cell>
          <cell r="P62">
            <v>8.9285714285714288E-2</v>
          </cell>
          <cell r="Q62">
            <v>0.10732984293193717</v>
          </cell>
          <cell r="R62">
            <v>0.16628527841342486</v>
          </cell>
          <cell r="S62">
            <v>0.13515509601181683</v>
          </cell>
          <cell r="T62">
            <v>0.11373390557939914</v>
          </cell>
          <cell r="U62">
            <v>9.5032397408207347E-2</v>
          </cell>
          <cell r="V62">
            <v>0.11655172413793104</v>
          </cell>
          <cell r="W62">
            <v>0.13461538461538461</v>
          </cell>
          <cell r="X62">
            <v>8.1529581529581535E-2</v>
          </cell>
          <cell r="Y62">
            <v>8.9349535382416009E-2</v>
          </cell>
          <cell r="Z62">
            <v>0.10902777777777778</v>
          </cell>
          <cell r="AA62">
            <v>9.6416938110749181E-2</v>
          </cell>
          <cell r="AB62">
            <v>9.7592713077423551E-2</v>
          </cell>
          <cell r="AC62">
            <v>7.1086807928913198E-2</v>
          </cell>
          <cell r="AD62">
            <v>8.9902280130293166E-2</v>
          </cell>
          <cell r="AE62">
            <v>7.1041948579161032E-2</v>
          </cell>
          <cell r="AF62">
            <v>7.8680203045685279E-2</v>
          </cell>
          <cell r="AG62">
            <v>9.6224116930572479E-2</v>
          </cell>
          <cell r="AH62">
            <v>9.2152199762187872E-2</v>
          </cell>
          <cell r="AI62">
            <v>7.7538461538461542E-2</v>
          </cell>
          <cell r="AJ62">
            <v>8.0141426045963471E-2</v>
          </cell>
          <cell r="AK62">
            <v>0.10379596678529063</v>
          </cell>
          <cell r="AL62">
            <v>6.4910025706940877E-2</v>
          </cell>
          <cell r="AM62">
            <v>7.8750000000000001E-2</v>
          </cell>
          <cell r="AN62">
            <v>9.2557848655409627E-2</v>
          </cell>
          <cell r="AO62">
            <v>7.2252580449301759E-2</v>
          </cell>
          <cell r="AP62">
            <v>6.9515669515669509E-2</v>
          </cell>
          <cell r="AQ62">
            <v>9.1917591125198095E-2</v>
          </cell>
          <cell r="AR62">
            <v>7.8066914498141265E-2</v>
          </cell>
          <cell r="AS62">
            <v>7.4138937536485691E-2</v>
          </cell>
          <cell r="AT62">
            <v>5.2169421487603305E-2</v>
          </cell>
          <cell r="AU62">
            <v>4.9431537320810674E-2</v>
          </cell>
          <cell r="AV62">
            <v>6.4569536423841056E-2</v>
          </cell>
          <cell r="AW62">
            <v>6.4467766116941536E-2</v>
          </cell>
          <cell r="AX62">
            <v>4.5708955223880597E-2</v>
          </cell>
          <cell r="AY62">
            <v>3.7520391517128875E-2</v>
          </cell>
          <cell r="AZ62">
            <v>7.3324905183312264E-2</v>
          </cell>
          <cell r="BA62">
            <v>6.7231980617807385E-2</v>
          </cell>
          <cell r="BB62">
            <v>6.2978222483814003E-2</v>
          </cell>
          <cell r="BC62">
            <v>8.1828442437923254E-2</v>
          </cell>
          <cell r="BD62">
            <v>5.9725158562367868E-2</v>
          </cell>
          <cell r="BE62">
            <v>4.3674936332218785E-2</v>
          </cell>
          <cell r="BF62">
            <v>6.2400339382908079E-2</v>
          </cell>
          <cell r="BG62">
            <v>8.3523625157453624E-2</v>
          </cell>
          <cell r="BH62">
            <v>6.6325445007009376E-2</v>
          </cell>
          <cell r="BI62">
            <v>6.9628259333725379E-2</v>
          </cell>
          <cell r="BJ62">
            <v>6.8974112235385313E-2</v>
          </cell>
          <cell r="BK62">
            <v>6.6438048373812716E-2</v>
          </cell>
          <cell r="BL62">
            <v>4.44982686280678E-2</v>
          </cell>
          <cell r="BM62">
            <v>3.5110477198322186E-2</v>
          </cell>
          <cell r="BN62">
            <v>4.0370361929334644E-2</v>
          </cell>
          <cell r="BO62">
            <v>4.8979826103178678E-2</v>
          </cell>
          <cell r="BP62">
            <v>4.2539703870853367E-2</v>
          </cell>
          <cell r="BQ62">
            <v>4.1847410471685949E-2</v>
          </cell>
          <cell r="BR62">
            <v>3.4445341289265879E-2</v>
          </cell>
          <cell r="BS62">
            <v>3.9669981630988747E-2</v>
          </cell>
          <cell r="BT62">
            <v>4.4715447154471545E-2</v>
          </cell>
          <cell r="BU62">
            <v>3.650793650793651E-2</v>
          </cell>
          <cell r="BV62">
            <v>4.6835443037974683E-2</v>
          </cell>
          <cell r="BW62">
            <v>4.6586345381526104E-2</v>
          </cell>
          <cell r="BX62">
            <v>5.0649350649350652E-2</v>
          </cell>
          <cell r="BY62">
            <v>5.9915611814345994E-2</v>
          </cell>
          <cell r="BZ62">
            <v>4.3697478991596636E-2</v>
          </cell>
          <cell r="CA62">
            <v>5.1337359792924933E-2</v>
          </cell>
          <cell r="CB62">
            <v>4.3478260869565216E-2</v>
          </cell>
          <cell r="CC62">
            <v>4.505994212484498E-2</v>
          </cell>
          <cell r="CD62">
            <v>3.5698737483674359E-2</v>
          </cell>
          <cell r="CE62">
            <v>3.1207598371777476E-2</v>
          </cell>
          <cell r="CF62">
            <v>2.7765134274010013E-2</v>
          </cell>
          <cell r="CG62">
            <v>2.7347310847766638E-2</v>
          </cell>
          <cell r="CH62">
            <v>2.9193697868396665E-2</v>
          </cell>
          <cell r="CI62">
            <v>3.5191956124314444E-2</v>
          </cell>
          <cell r="CJ62">
            <v>4.003371260008428E-2</v>
          </cell>
          <cell r="CK62">
            <v>3.216911764705882E-2</v>
          </cell>
          <cell r="CL62">
            <v>2.8866867729426971E-2</v>
          </cell>
          <cell r="CM62">
            <v>2.9279279279279279E-2</v>
          </cell>
          <cell r="CN62">
            <v>2.6362038664323375E-2</v>
          </cell>
          <cell r="CO62">
            <v>2.0563254358515869E-2</v>
          </cell>
          <cell r="CP62">
            <v>1.7034990791896871E-2</v>
          </cell>
          <cell r="CQ62">
            <v>1.9667832167832168E-2</v>
          </cell>
          <cell r="CR62">
            <v>2.0833333333333332E-2</v>
          </cell>
          <cell r="CS62">
            <v>2.5221238938053097E-2</v>
          </cell>
          <cell r="CT62">
            <v>2.0353982300884955E-2</v>
          </cell>
          <cell r="CU62">
            <v>1.3236549957301452E-2</v>
          </cell>
          <cell r="CV62">
            <v>1.4119601328903655E-2</v>
          </cell>
          <cell r="CW62">
            <v>1.5138408304498269E-2</v>
          </cell>
          <cell r="CX62">
            <v>1.2809187279151944E-2</v>
          </cell>
          <cell r="CY62">
            <v>1.3605442176870748E-2</v>
          </cell>
          <cell r="CZ62">
            <v>1.5194681861348529E-2</v>
          </cell>
          <cell r="DA62">
            <v>1.4215686274509804E-2</v>
          </cell>
          <cell r="DB62">
            <v>8.2564351627003405E-3</v>
          </cell>
          <cell r="DC62">
            <v>8.831168831168832E-3</v>
          </cell>
          <cell r="DD62">
            <v>1.1055831951354339E-2</v>
          </cell>
          <cell r="DE62">
            <v>1.1387163561076604E-2</v>
          </cell>
          <cell r="DF62">
            <v>8.6814975583288118E-3</v>
          </cell>
          <cell r="DG62">
            <v>1.0600706713780919E-2</v>
          </cell>
          <cell r="DH62">
            <v>8.6157380815623207E-3</v>
          </cell>
          <cell r="DI62">
            <v>1.0365853658536586E-2</v>
          </cell>
          <cell r="DJ62">
            <v>7.9863091842555627E-3</v>
          </cell>
          <cell r="DK62">
            <v>1.0050251256281407E-2</v>
          </cell>
          <cell r="DL62">
            <v>4.7086521483225424E-3</v>
          </cell>
          <cell r="DM62">
            <v>8.5242408098028764E-3</v>
          </cell>
          <cell r="DN62">
            <v>6.138392857142857E-3</v>
          </cell>
          <cell r="DO62">
            <v>5.6039850560398504E-3</v>
          </cell>
          <cell r="DP62">
            <v>6.3371356147021544E-3</v>
          </cell>
          <cell r="DQ62">
            <v>6.2370062370062374E-3</v>
          </cell>
          <cell r="DR62">
            <v>3.7650602409638554E-3</v>
          </cell>
          <cell r="DS62">
            <v>8.658008658008658E-3</v>
          </cell>
        </row>
        <row r="63">
          <cell r="A63" t="str">
            <v>Rio Negro</v>
          </cell>
          <cell r="B63">
            <v>9.5305832147937405E-2</v>
          </cell>
          <cell r="C63">
            <v>0.10296191819464035</v>
          </cell>
          <cell r="D63">
            <v>9.606986899563319E-2</v>
          </cell>
          <cell r="E63">
            <v>8.2251082251082255E-2</v>
          </cell>
          <cell r="F63">
            <v>7.9142011834319528E-2</v>
          </cell>
          <cell r="G63">
            <v>7.5872534142640363E-2</v>
          </cell>
          <cell r="H63">
            <v>8.4400904295403159E-2</v>
          </cell>
          <cell r="I63">
            <v>9.2814371257485026E-2</v>
          </cell>
          <cell r="J63">
            <v>9.5505617977528087E-2</v>
          </cell>
          <cell r="K63">
            <v>9.7073518915060678E-2</v>
          </cell>
          <cell r="L63">
            <v>9.8693759071117562E-2</v>
          </cell>
          <cell r="M63">
            <v>0.11363636363636363</v>
          </cell>
          <cell r="N63">
            <v>0.10611735330836454</v>
          </cell>
          <cell r="O63">
            <v>8.5679314565483472E-2</v>
          </cell>
          <cell r="P63">
            <v>8.0917874396135264E-2</v>
          </cell>
          <cell r="Q63">
            <v>7.9601990049751242E-2</v>
          </cell>
          <cell r="R63">
            <v>0.14617169373549885</v>
          </cell>
          <cell r="S63">
            <v>0.13341645885286782</v>
          </cell>
          <cell r="T63">
            <v>0.14109742441209405</v>
          </cell>
          <cell r="U63">
            <v>8.943089430894309E-2</v>
          </cell>
          <cell r="V63">
            <v>8.658536585365853E-2</v>
          </cell>
          <cell r="W63">
            <v>7.1887034659820284E-2</v>
          </cell>
          <cell r="X63">
            <v>7.8521939953810627E-2</v>
          </cell>
          <cell r="Y63">
            <v>8.7320574162679424E-2</v>
          </cell>
          <cell r="Z63">
            <v>0.10676156583629894</v>
          </cell>
          <cell r="AA63">
            <v>0.1207897793263647</v>
          </cell>
          <cell r="AB63">
            <v>8.5336538461538464E-2</v>
          </cell>
          <cell r="AC63">
            <v>8.0473372781065089E-2</v>
          </cell>
          <cell r="AD63">
            <v>0.1111111111111111</v>
          </cell>
          <cell r="AE63">
            <v>8.9848308051341891E-2</v>
          </cell>
          <cell r="AF63">
            <v>9.2289719626168221E-2</v>
          </cell>
          <cell r="AG63">
            <v>9.1915836101882614E-2</v>
          </cell>
          <cell r="AH63">
            <v>8.0473372781065089E-2</v>
          </cell>
          <cell r="AI63">
            <v>6.1742006615214992E-2</v>
          </cell>
          <cell r="AJ63">
            <v>7.6178960096735193E-2</v>
          </cell>
          <cell r="AK63">
            <v>8.381839348079162E-2</v>
          </cell>
          <cell r="AL63">
            <v>8.0485115766262397E-2</v>
          </cell>
          <cell r="AM63">
            <v>9.2485549132947972E-2</v>
          </cell>
          <cell r="AN63">
            <v>0.11346765641569459</v>
          </cell>
          <cell r="AO63">
            <v>7.5178997613365162E-2</v>
          </cell>
          <cell r="AP63">
            <v>0.10400866738894908</v>
          </cell>
          <cell r="AQ63">
            <v>7.4921956295525491E-2</v>
          </cell>
          <cell r="AR63">
            <v>0.14002205071664828</v>
          </cell>
          <cell r="AS63">
            <v>7.3319755600814662E-2</v>
          </cell>
          <cell r="AT63">
            <v>7.050092764378478E-2</v>
          </cell>
          <cell r="AU63">
            <v>8.0947680157946691E-2</v>
          </cell>
          <cell r="AV63">
            <v>8.3608360836083612E-2</v>
          </cell>
          <cell r="AW63">
            <v>5.1537822111388194E-2</v>
          </cell>
          <cell r="AX63">
            <v>3.727272727272727E-2</v>
          </cell>
          <cell r="AY63">
            <v>4.4176706827309238E-2</v>
          </cell>
          <cell r="AZ63">
            <v>6.5498154981549817E-2</v>
          </cell>
          <cell r="BA63">
            <v>7.792207792207792E-2</v>
          </cell>
          <cell r="BB63">
            <v>7.8280044101433299E-2</v>
          </cell>
          <cell r="BC63">
            <v>7.7479338842975212E-2</v>
          </cell>
          <cell r="BD63">
            <v>6.1946902654867256E-2</v>
          </cell>
          <cell r="BE63">
            <v>5.904004775954641E-2</v>
          </cell>
          <cell r="BF63">
            <v>6.1595525786815819E-2</v>
          </cell>
          <cell r="BG63">
            <v>7.1560025157608897E-2</v>
          </cell>
          <cell r="BH63">
            <v>4.9615218764233297E-2</v>
          </cell>
          <cell r="BI63">
            <v>7.92961342668701E-2</v>
          </cell>
          <cell r="BJ63">
            <v>7.9405488049992159E-2</v>
          </cell>
          <cell r="BK63">
            <v>6.0135811602141681E-2</v>
          </cell>
          <cell r="BL63">
            <v>6.4473687480743752E-2</v>
          </cell>
          <cell r="BM63">
            <v>6.5715503861177721E-2</v>
          </cell>
          <cell r="BN63">
            <v>6.101504934784549E-2</v>
          </cell>
          <cell r="BO63">
            <v>8.8513199688111915E-2</v>
          </cell>
          <cell r="BP63">
            <v>4.806821812566648E-2</v>
          </cell>
          <cell r="BQ63">
            <v>5.701126008990004E-2</v>
          </cell>
          <cell r="BR63">
            <v>5.8226736579971808E-2</v>
          </cell>
          <cell r="BS63">
            <v>5.1052242180945416E-2</v>
          </cell>
          <cell r="BT63">
            <v>4.4036697247706424E-2</v>
          </cell>
          <cell r="BU63">
            <v>4.913793103448276E-2</v>
          </cell>
          <cell r="BV63">
            <v>4.9056603773584909E-2</v>
          </cell>
          <cell r="BW63">
            <v>5.0892857142857142E-2</v>
          </cell>
          <cell r="BX63">
            <v>5.0892857142857142E-2</v>
          </cell>
          <cell r="BY63">
            <v>4.9166666666666664E-2</v>
          </cell>
          <cell r="BZ63">
            <v>5.2212389380530973E-2</v>
          </cell>
          <cell r="CA63">
            <v>4.2418772563176894E-2</v>
          </cell>
          <cell r="CB63">
            <v>3.3333333333333333E-2</v>
          </cell>
          <cell r="CC63">
            <v>4.7179487179487181E-2</v>
          </cell>
          <cell r="CD63">
            <v>3.4663865546218489E-2</v>
          </cell>
          <cell r="CE63">
            <v>2.9818956336528223E-2</v>
          </cell>
          <cell r="CF63">
            <v>3.1982942430703626E-2</v>
          </cell>
          <cell r="CG63">
            <v>2.9350104821802937E-2</v>
          </cell>
          <cell r="CH63">
            <v>2.6615969581749048E-2</v>
          </cell>
          <cell r="CI63">
            <v>3.3396946564885496E-2</v>
          </cell>
          <cell r="CJ63">
            <v>2.4024024024024024E-2</v>
          </cell>
          <cell r="CK63">
            <v>2.8747433264887063E-2</v>
          </cell>
          <cell r="CL63">
            <v>2.0242914979757085E-2</v>
          </cell>
          <cell r="CM63">
            <v>2.8625954198473282E-2</v>
          </cell>
          <cell r="CN63">
            <v>2.4714828897338403E-2</v>
          </cell>
          <cell r="CO63">
            <v>9.6899224806201549E-3</v>
          </cell>
          <cell r="CP63">
            <v>2.0735155513666354E-2</v>
          </cell>
          <cell r="CQ63">
            <v>1.1638316920322292E-2</v>
          </cell>
          <cell r="CR63">
            <v>1.1970534069981584E-2</v>
          </cell>
          <cell r="CS63">
            <v>2.5854108956602031E-2</v>
          </cell>
          <cell r="CT63">
            <v>1.0156971375807941E-2</v>
          </cell>
          <cell r="CU63">
            <v>1.8375241779497099E-2</v>
          </cell>
          <cell r="CV63">
            <v>1.4625228519195612E-2</v>
          </cell>
          <cell r="CW63">
            <v>7.6997112608277194E-3</v>
          </cell>
          <cell r="CX63">
            <v>1.3527575442247659E-2</v>
          </cell>
          <cell r="CY63">
            <v>1.083743842364532E-2</v>
          </cell>
          <cell r="CZ63">
            <v>1.1904761904761904E-2</v>
          </cell>
          <cell r="DA63">
            <v>1.9108280254777069E-2</v>
          </cell>
          <cell r="DB63">
            <v>1.2958963282937365E-2</v>
          </cell>
          <cell r="DC63">
            <v>1.2401352874859075E-2</v>
          </cell>
          <cell r="DD63">
            <v>1.0256410256410256E-2</v>
          </cell>
          <cell r="DE63">
            <v>5.7937427578215531E-3</v>
          </cell>
          <cell r="DF63">
            <v>7.0351758793969852E-3</v>
          </cell>
          <cell r="DG63">
            <v>4.2689434364994666E-3</v>
          </cell>
          <cell r="DH63">
            <v>1.1764705882352941E-2</v>
          </cell>
          <cell r="DI63">
            <v>1.098901098901099E-2</v>
          </cell>
          <cell r="DJ63">
            <v>7.9455164585698068E-3</v>
          </cell>
          <cell r="DK63">
            <v>1.4527845036319613E-2</v>
          </cell>
          <cell r="DL63">
            <v>7.829977628635347E-3</v>
          </cell>
          <cell r="DM63">
            <v>4.6838407494145199E-3</v>
          </cell>
          <cell r="DN63">
            <v>9.9502487562189053E-3</v>
          </cell>
          <cell r="DO63">
            <v>1.2970168612191958E-3</v>
          </cell>
          <cell r="DP63">
            <v>0</v>
          </cell>
          <cell r="DQ63">
            <v>7.3637702503681884E-3</v>
          </cell>
          <cell r="DR63">
            <v>4.815409309791332E-3</v>
          </cell>
          <cell r="DS63">
            <v>1.7761989342806395E-3</v>
          </cell>
        </row>
        <row r="64">
          <cell r="A64" t="str">
            <v>Rivera</v>
          </cell>
          <cell r="B64">
            <v>0.12111111111111111</v>
          </cell>
          <cell r="C64">
            <v>9.3679458239277646E-2</v>
          </cell>
          <cell r="D64">
            <v>0.12525252525252525</v>
          </cell>
          <cell r="E64">
            <v>0.11737629459148446</v>
          </cell>
          <cell r="F64">
            <v>0.10070493454179255</v>
          </cell>
          <cell r="G64">
            <v>8.7735004476275733E-2</v>
          </cell>
          <cell r="H64">
            <v>9.7461468721668179E-2</v>
          </cell>
          <cell r="I64">
            <v>0.10743801652892562</v>
          </cell>
          <cell r="J64">
            <v>0.10617283950617284</v>
          </cell>
          <cell r="K64">
            <v>0.11135181975736569</v>
          </cell>
          <cell r="L64">
            <v>0.1171088746569076</v>
          </cell>
          <cell r="M64">
            <v>0.17102315160567588</v>
          </cell>
          <cell r="N64">
            <v>0.1468005018820577</v>
          </cell>
          <cell r="O64">
            <v>0.12952646239554316</v>
          </cell>
          <cell r="P64">
            <v>0.13429602888086642</v>
          </cell>
          <cell r="Q64">
            <v>0.16457680250783699</v>
          </cell>
          <cell r="R64">
            <v>0.16099585062240665</v>
          </cell>
          <cell r="S64">
            <v>0.13615023474178403</v>
          </cell>
          <cell r="T64">
            <v>0.15390279823269515</v>
          </cell>
          <cell r="U64">
            <v>0.13875917278185457</v>
          </cell>
          <cell r="V64">
            <v>0.16981132075471697</v>
          </cell>
          <cell r="W64">
            <v>0.15816326530612246</v>
          </cell>
          <cell r="X64">
            <v>0.1228719467061436</v>
          </cell>
          <cell r="Y64">
            <v>0.17151848937844216</v>
          </cell>
          <cell r="Z64">
            <v>0.14989444053483461</v>
          </cell>
          <cell r="AA64">
            <v>0.18246614397719174</v>
          </cell>
          <cell r="AB64">
            <v>0.12880258899676375</v>
          </cell>
          <cell r="AC64">
            <v>0.13922356091030791</v>
          </cell>
          <cell r="AD64">
            <v>0.14993954050785974</v>
          </cell>
          <cell r="AE64">
            <v>0.1492354740061162</v>
          </cell>
          <cell r="AF64">
            <v>0.12485615650172613</v>
          </cell>
          <cell r="AG64">
            <v>0.16389548693586697</v>
          </cell>
          <cell r="AH64">
            <v>0.13353658536585367</v>
          </cell>
          <cell r="AI64">
            <v>0.12859884836852206</v>
          </cell>
          <cell r="AJ64">
            <v>0.17018633540372671</v>
          </cell>
          <cell r="AK64">
            <v>0.13048855905998763</v>
          </cell>
          <cell r="AL64">
            <v>0.12429378531073447</v>
          </cell>
          <cell r="AM64">
            <v>0.14871194379391101</v>
          </cell>
          <cell r="AN64">
            <v>0.12507444907683143</v>
          </cell>
          <cell r="AO64">
            <v>0.13100686498855835</v>
          </cell>
          <cell r="AP64">
            <v>0.12215078901227353</v>
          </cell>
          <cell r="AQ64">
            <v>0.15432098765432098</v>
          </cell>
          <cell r="AR64">
            <v>0.15521064301552107</v>
          </cell>
          <cell r="AS64">
            <v>0.12868632707774799</v>
          </cell>
          <cell r="AT64">
            <v>9.2485549132947972E-2</v>
          </cell>
          <cell r="AU64">
            <v>0.10294728102947281</v>
          </cell>
          <cell r="AV64">
            <v>8.1276595744680852E-2</v>
          </cell>
          <cell r="AW64">
            <v>7.5588121866563829E-2</v>
          </cell>
          <cell r="AX64">
            <v>6.1195613724796608E-2</v>
          </cell>
          <cell r="AY64">
            <v>4.9575821845174971E-2</v>
          </cell>
          <cell r="AZ64">
            <v>0.11956521739130435</v>
          </cell>
          <cell r="BA64">
            <v>0.1361111111111111</v>
          </cell>
          <cell r="BB64">
            <v>0.10365853658536585</v>
          </cell>
          <cell r="BC64">
            <v>0.11931818181818182</v>
          </cell>
          <cell r="BD64">
            <v>0.12996108949416343</v>
          </cell>
          <cell r="BE64">
            <v>0.14477793809970951</v>
          </cell>
          <cell r="BF64">
            <v>0.10669319918922196</v>
          </cell>
          <cell r="BG64">
            <v>0.12054149079001304</v>
          </cell>
          <cell r="BH64">
            <v>0.14235004356117481</v>
          </cell>
          <cell r="BI64">
            <v>0.12187249162514399</v>
          </cell>
          <cell r="BJ64">
            <v>0.11384565073317784</v>
          </cell>
          <cell r="BK64">
            <v>0.10005678361503423</v>
          </cell>
          <cell r="BL64">
            <v>9.4026056309002862E-2</v>
          </cell>
          <cell r="BM64">
            <v>6.502576516812611E-2</v>
          </cell>
          <cell r="BN64">
            <v>9.8342356286267057E-2</v>
          </cell>
          <cell r="BO64">
            <v>9.5057994219424957E-2</v>
          </cell>
          <cell r="BP64">
            <v>6.950526117740026E-2</v>
          </cell>
          <cell r="BQ64">
            <v>9.0544731242562279E-2</v>
          </cell>
          <cell r="BR64">
            <v>6.6637931454661209E-2</v>
          </cell>
          <cell r="BS64">
            <v>5.5036057440848725E-2</v>
          </cell>
          <cell r="BT64">
            <v>4.3888888888888887E-2</v>
          </cell>
          <cell r="BU64">
            <v>5.6315789473684208E-2</v>
          </cell>
          <cell r="BV64">
            <v>4.8351648351648353E-2</v>
          </cell>
          <cell r="BW64">
            <v>6.4556962025316453E-2</v>
          </cell>
          <cell r="BX64">
            <v>5.0931677018633541E-2</v>
          </cell>
          <cell r="BY64">
            <v>4.0372670807453416E-2</v>
          </cell>
          <cell r="BZ64">
            <v>5.0526315789473683E-2</v>
          </cell>
          <cell r="CA64">
            <v>6.3856168629882207E-2</v>
          </cell>
          <cell r="CB64">
            <v>4.1592394533571005E-2</v>
          </cell>
          <cell r="CC64">
            <v>4.1327489041953665E-2</v>
          </cell>
          <cell r="CD64">
            <v>2.5371287128712873E-2</v>
          </cell>
          <cell r="CE64">
            <v>3.5145888594164454E-2</v>
          </cell>
          <cell r="CF64">
            <v>3.3376963350785341E-2</v>
          </cell>
          <cell r="CG64">
            <v>3.0808729139922979E-2</v>
          </cell>
          <cell r="CH64">
            <v>3.6172695449241538E-2</v>
          </cell>
          <cell r="CI64">
            <v>3.5545023696682464E-2</v>
          </cell>
          <cell r="CJ64">
            <v>2.6423957721667644E-2</v>
          </cell>
          <cell r="CK64">
            <v>3.2000000000000001E-2</v>
          </cell>
          <cell r="CL64">
            <v>3.1655422937208098E-2</v>
          </cell>
          <cell r="CM64">
            <v>2.1316033364226137E-2</v>
          </cell>
          <cell r="CN64">
            <v>2.914572864321608E-2</v>
          </cell>
          <cell r="CO64">
            <v>3.1527093596059111E-2</v>
          </cell>
          <cell r="CP64">
            <v>2.1761133603238867E-2</v>
          </cell>
          <cell r="CQ64">
            <v>3.0372756557754257E-2</v>
          </cell>
          <cell r="CR64">
            <v>2.6937618147448016E-2</v>
          </cell>
          <cell r="CS64">
            <v>2.7699530516431925E-2</v>
          </cell>
          <cell r="CT64">
            <v>2.4882629107981221E-2</v>
          </cell>
          <cell r="CU64">
            <v>1.8092909535452322E-2</v>
          </cell>
          <cell r="CV64">
            <v>2.3774866569626393E-2</v>
          </cell>
          <cell r="CW64">
            <v>1.7118402282453638E-2</v>
          </cell>
          <cell r="CX64">
            <v>1.6008004002000999E-2</v>
          </cell>
          <cell r="CY64">
            <v>1.5360169491525424E-2</v>
          </cell>
          <cell r="CZ64">
            <v>1.5765765765765764E-2</v>
          </cell>
          <cell r="DA64">
            <v>1.4958448753462604E-2</v>
          </cell>
          <cell r="DB64">
            <v>1.5167930660888408E-2</v>
          </cell>
          <cell r="DC64">
            <v>1.2399256044637322E-2</v>
          </cell>
          <cell r="DD64">
            <v>1.8617021276595744E-2</v>
          </cell>
          <cell r="DE64">
            <v>1.265022137887413E-2</v>
          </cell>
          <cell r="DF64">
            <v>1.0863350485991996E-2</v>
          </cell>
          <cell r="DG64">
            <v>7.3529411764705881E-3</v>
          </cell>
          <cell r="DH64">
            <v>7.4766355140186919E-3</v>
          </cell>
          <cell r="DI64">
            <v>1.0455104551045511E-2</v>
          </cell>
          <cell r="DJ64">
            <v>1.3656114214773432E-2</v>
          </cell>
          <cell r="DK64">
            <v>6.024096385542169E-3</v>
          </cell>
          <cell r="DL64">
            <v>9.768009768009768E-3</v>
          </cell>
          <cell r="DM64">
            <v>7.9545454545454537E-3</v>
          </cell>
          <cell r="DN64">
            <v>6.5632458233890216E-3</v>
          </cell>
          <cell r="DO64">
            <v>7.4074074074074077E-3</v>
          </cell>
          <cell r="DP64">
            <v>7.4165636588380719E-3</v>
          </cell>
          <cell r="DQ64">
            <v>6.7294751009421266E-3</v>
          </cell>
          <cell r="DR64">
            <v>5.3475935828877002E-3</v>
          </cell>
          <cell r="DS64">
            <v>5.3394355453852023E-3</v>
          </cell>
        </row>
        <row r="65">
          <cell r="A65" t="str">
            <v>Rocha</v>
          </cell>
          <cell r="B65">
            <v>9.6860986547085207E-2</v>
          </cell>
          <cell r="C65">
            <v>8.5160202360876902E-2</v>
          </cell>
          <cell r="D65">
            <v>9.4509450945094511E-2</v>
          </cell>
          <cell r="E65">
            <v>0.12265624999999999</v>
          </cell>
          <cell r="F65">
            <v>0.10688836104513064</v>
          </cell>
          <cell r="G65">
            <v>9.0690208667736763E-2</v>
          </cell>
          <cell r="H65">
            <v>9.6076861489191354E-2</v>
          </cell>
          <cell r="I65">
            <v>0.10143769968051118</v>
          </cell>
          <cell r="J65">
            <v>9.3313739897134457E-2</v>
          </cell>
          <cell r="K65">
            <v>8.3731178846860085E-2</v>
          </cell>
          <cell r="L65">
            <v>7.4155653450807629E-2</v>
          </cell>
          <cell r="M65">
            <v>9.0702947845804988E-2</v>
          </cell>
          <cell r="N65">
            <v>9.7031136857349751E-2</v>
          </cell>
          <cell r="O65">
            <v>0.10042735042735043</v>
          </cell>
          <cell r="P65">
            <v>8.3206106870229002E-2</v>
          </cell>
          <cell r="Q65">
            <v>9.648466716529544E-2</v>
          </cell>
          <cell r="R65">
            <v>0.12939416604338069</v>
          </cell>
          <cell r="S65">
            <v>0.10065645514223195</v>
          </cell>
          <cell r="T65">
            <v>8.4635416666666671E-2</v>
          </cell>
          <cell r="U65">
            <v>8.9095744680851061E-2</v>
          </cell>
          <cell r="V65">
            <v>0.10267229254571027</v>
          </cell>
          <cell r="W65">
            <v>0.10707204230006609</v>
          </cell>
          <cell r="X65">
            <v>8.6317135549872123E-2</v>
          </cell>
          <cell r="Y65">
            <v>6.7893401015228422E-2</v>
          </cell>
          <cell r="Z65">
            <v>0.1096305269533616</v>
          </cell>
          <cell r="AA65">
            <v>0.10218068535825545</v>
          </cell>
          <cell r="AB65">
            <v>7.8018575851393185E-2</v>
          </cell>
          <cell r="AC65">
            <v>9.2165898617511524E-2</v>
          </cell>
          <cell r="AD65">
            <v>0.12609970674486803</v>
          </cell>
          <cell r="AE65">
            <v>8.5310734463276833E-2</v>
          </cell>
          <cell r="AF65">
            <v>8.8202866593164272E-2</v>
          </cell>
          <cell r="AG65">
            <v>8.2039911308203997E-2</v>
          </cell>
          <cell r="AH65">
            <v>0.08</v>
          </cell>
          <cell r="AI65">
            <v>8.7525844245348039E-2</v>
          </cell>
          <cell r="AJ65">
            <v>7.3414112615823229E-2</v>
          </cell>
          <cell r="AK65">
            <v>7.1715817694369979E-2</v>
          </cell>
          <cell r="AL65">
            <v>7.0412517780938835E-2</v>
          </cell>
          <cell r="AM65">
            <v>6.13107822410148E-2</v>
          </cell>
          <cell r="AN65">
            <v>6.6392881587953451E-2</v>
          </cell>
          <cell r="AO65">
            <v>6.0283687943262408E-2</v>
          </cell>
          <cell r="AP65">
            <v>5.5555555555555552E-2</v>
          </cell>
          <cell r="AQ65">
            <v>4.9707602339181284E-2</v>
          </cell>
          <cell r="AR65">
            <v>7.9639368895567247E-2</v>
          </cell>
          <cell r="AS65">
            <v>5.3301511535401754E-2</v>
          </cell>
          <cell r="AT65">
            <v>6.3547486033519548E-2</v>
          </cell>
          <cell r="AU65">
            <v>4.2372881355932202E-2</v>
          </cell>
          <cell r="AV65">
            <v>3.385579937304075E-2</v>
          </cell>
          <cell r="AW65">
            <v>5.0368550368550369E-2</v>
          </cell>
          <cell r="AX65">
            <v>4.7949526813880129E-2</v>
          </cell>
          <cell r="AY65">
            <v>2.8183190739808756E-2</v>
          </cell>
          <cell r="AZ65">
            <v>5.7788944723618091E-2</v>
          </cell>
          <cell r="BA65">
            <v>4.3560606060606064E-2</v>
          </cell>
          <cell r="BB65">
            <v>5.8764940239043828E-2</v>
          </cell>
          <cell r="BC65">
            <v>4.3523316062176166E-2</v>
          </cell>
          <cell r="BD65">
            <v>6.3522617901828685E-2</v>
          </cell>
          <cell r="BE65">
            <v>6.5141193368341635E-2</v>
          </cell>
          <cell r="BF65">
            <v>5.4348054060343556E-2</v>
          </cell>
          <cell r="BG65">
            <v>4.3654530324324134E-2</v>
          </cell>
          <cell r="BH65">
            <v>3.9671911280890197E-2</v>
          </cell>
          <cell r="BI65">
            <v>5.640887382684303E-2</v>
          </cell>
          <cell r="BJ65">
            <v>4.3044370011586758E-2</v>
          </cell>
          <cell r="BK65">
            <v>3.2597846767081572E-2</v>
          </cell>
          <cell r="BL65">
            <v>4.3569349194048153E-2</v>
          </cell>
          <cell r="BM65">
            <v>4.8901415432690359E-2</v>
          </cell>
          <cell r="BN65">
            <v>4.3162417716519776E-2</v>
          </cell>
          <cell r="BO65">
            <v>3.747607569898101E-2</v>
          </cell>
          <cell r="BP65">
            <v>3.1842022174969974E-2</v>
          </cell>
          <cell r="BQ65">
            <v>4.8897730346926814E-2</v>
          </cell>
          <cell r="BR65">
            <v>4.1458646387227044E-2</v>
          </cell>
          <cell r="BS65">
            <v>4.0367527127536142E-2</v>
          </cell>
          <cell r="BT65">
            <v>3.9285714285714285E-2</v>
          </cell>
          <cell r="BU65">
            <v>4.0366972477064222E-2</v>
          </cell>
          <cell r="BV65">
            <v>3.7735849056603772E-2</v>
          </cell>
          <cell r="BW65">
            <v>3.5897435897435895E-2</v>
          </cell>
          <cell r="BX65">
            <v>4.4166666666666667E-2</v>
          </cell>
          <cell r="BY65">
            <v>3.7499999999999999E-2</v>
          </cell>
          <cell r="BZ65">
            <v>4.0322580645161289E-2</v>
          </cell>
          <cell r="CA65">
            <v>4.5909849749582635E-2</v>
          </cell>
          <cell r="CB65">
            <v>4.0517241379310343E-2</v>
          </cell>
          <cell r="CC65">
            <v>3.283302063789869E-2</v>
          </cell>
          <cell r="CD65">
            <v>2.6794258373205742E-2</v>
          </cell>
          <cell r="CE65">
            <v>2.4691358024691357E-2</v>
          </cell>
          <cell r="CF65">
            <v>3.2579185520361993E-2</v>
          </cell>
          <cell r="CG65">
            <v>2.3719165085388995E-2</v>
          </cell>
          <cell r="CH65">
            <v>2.6724137931034484E-2</v>
          </cell>
          <cell r="CI65">
            <v>3.7183544303797465E-2</v>
          </cell>
          <cell r="CJ65">
            <v>2.9962546816479401E-2</v>
          </cell>
          <cell r="CK65">
            <v>2.7385159010600707E-2</v>
          </cell>
          <cell r="CL65">
            <v>1.595298068849706E-2</v>
          </cell>
          <cell r="CM65">
            <v>2.1812080536912751E-2</v>
          </cell>
          <cell r="CN65">
            <v>1.4950166112956811E-2</v>
          </cell>
          <cell r="CO65">
            <v>2.7093596059113302E-2</v>
          </cell>
          <cell r="CP65">
            <v>2.7457927369353409E-2</v>
          </cell>
          <cell r="CQ65">
            <v>2.1172638436482084E-2</v>
          </cell>
          <cell r="CR65">
            <v>1.1904761904761904E-2</v>
          </cell>
          <cell r="CS65">
            <v>2.1479713603818614E-2</v>
          </cell>
          <cell r="CT65">
            <v>2.3070803500397773E-2</v>
          </cell>
          <cell r="CU65">
            <v>2.1541010770505385E-2</v>
          </cell>
          <cell r="CV65">
            <v>1.5329125338142471E-2</v>
          </cell>
          <cell r="CW65">
            <v>1.6339869281045753E-2</v>
          </cell>
          <cell r="CX65">
            <v>1.4312977099236641E-2</v>
          </cell>
          <cell r="CY65">
            <v>1.1461318051575931E-2</v>
          </cell>
          <cell r="CZ65">
            <v>1.5209125475285171E-2</v>
          </cell>
          <cell r="DA65">
            <v>1.4097744360902255E-2</v>
          </cell>
          <cell r="DB65">
            <v>1.9455252918287938E-2</v>
          </cell>
          <cell r="DC65">
            <v>1.3429752066115703E-2</v>
          </cell>
          <cell r="DD65">
            <v>8.7145969498910684E-3</v>
          </cell>
          <cell r="DE65">
            <v>9.74025974025974E-3</v>
          </cell>
          <cell r="DF65">
            <v>1.1988011988011988E-2</v>
          </cell>
          <cell r="DG65">
            <v>9.8716683119447184E-3</v>
          </cell>
          <cell r="DH65">
            <v>8.8582677165354329E-3</v>
          </cell>
          <cell r="DI65">
            <v>5.0607287449392713E-3</v>
          </cell>
          <cell r="DJ65">
            <v>1.1410788381742738E-2</v>
          </cell>
          <cell r="DK65">
            <v>1.1527377521613832E-2</v>
          </cell>
          <cell r="DL65">
            <v>1.0384215991692628E-2</v>
          </cell>
          <cell r="DM65">
            <v>5.0403225806451612E-3</v>
          </cell>
          <cell r="DN65">
            <v>7.9681274900398405E-3</v>
          </cell>
          <cell r="DO65">
            <v>7.5107296137339056E-3</v>
          </cell>
          <cell r="DP65">
            <v>3.6585365853658539E-3</v>
          </cell>
          <cell r="DQ65">
            <v>9.9255583126550868E-3</v>
          </cell>
          <cell r="DR65">
            <v>3.8363171355498722E-3</v>
          </cell>
          <cell r="DS65">
            <v>7.9575596816976128E-3</v>
          </cell>
        </row>
        <row r="66">
          <cell r="A66" t="str">
            <v>Salto</v>
          </cell>
          <cell r="B66">
            <v>0.10903010033444815</v>
          </cell>
          <cell r="C66">
            <v>0.10834454912516824</v>
          </cell>
          <cell r="D66">
            <v>0.12681638044914134</v>
          </cell>
          <cell r="E66">
            <v>0.15374331550802139</v>
          </cell>
          <cell r="F66">
            <v>0.12226797592651251</v>
          </cell>
          <cell r="G66">
            <v>9.3919325707405174E-2</v>
          </cell>
          <cell r="H66">
            <v>0.12696417347580138</v>
          </cell>
          <cell r="I66">
            <v>0.16305062458908612</v>
          </cell>
          <cell r="J66">
            <v>0.13164251207729469</v>
          </cell>
          <cell r="K66">
            <v>0.12808497344579819</v>
          </cell>
          <cell r="L66">
            <v>0.12427184466019417</v>
          </cell>
          <cell r="M66">
            <v>0.1150497512437811</v>
          </cell>
          <cell r="N66">
            <v>0.13116656993615786</v>
          </cell>
          <cell r="O66">
            <v>0.10011248593925759</v>
          </cell>
          <cell r="P66">
            <v>0.12002212389380532</v>
          </cell>
          <cell r="Q66">
            <v>0.11154058531198233</v>
          </cell>
          <cell r="R66">
            <v>0.18679357525282569</v>
          </cell>
          <cell r="S66">
            <v>0.10837988826815642</v>
          </cell>
          <cell r="T66">
            <v>0.15717415115005476</v>
          </cell>
          <cell r="U66">
            <v>0.12772925764192139</v>
          </cell>
          <cell r="V66">
            <v>0.11157239231966788</v>
          </cell>
          <cell r="W66">
            <v>0.11880165289256199</v>
          </cell>
          <cell r="X66">
            <v>7.7088948787061989E-2</v>
          </cell>
          <cell r="Y66">
            <v>0.10800644814615798</v>
          </cell>
          <cell r="Z66">
            <v>0.12048832271762208</v>
          </cell>
          <cell r="AA66">
            <v>9.784244856999498E-2</v>
          </cell>
          <cell r="AB66">
            <v>0.10539336961900049</v>
          </cell>
          <cell r="AC66">
            <v>0.12911266201395813</v>
          </cell>
          <cell r="AD66">
            <v>9.9255583126550875E-2</v>
          </cell>
          <cell r="AE66">
            <v>8.6016338298894768E-2</v>
          </cell>
          <cell r="AF66">
            <v>0.12152614225153086</v>
          </cell>
          <cell r="AG66">
            <v>0.11699677567941041</v>
          </cell>
          <cell r="AH66">
            <v>0.10958254269449716</v>
          </cell>
          <cell r="AI66">
            <v>0.10810810810810811</v>
          </cell>
          <cell r="AJ66">
            <v>0.1092436974789916</v>
          </cell>
          <cell r="AK66">
            <v>0.13726487036095578</v>
          </cell>
          <cell r="AL66">
            <v>0.12260343087790111</v>
          </cell>
          <cell r="AM66">
            <v>9.5577020843924762E-2</v>
          </cell>
          <cell r="AN66">
            <v>0.12585571353343866</v>
          </cell>
          <cell r="AO66">
            <v>7.7714873906330417E-2</v>
          </cell>
          <cell r="AP66">
            <v>8.1001472754050077E-2</v>
          </cell>
          <cell r="AQ66">
            <v>0.1009506564056134</v>
          </cell>
          <cell r="AR66">
            <v>9.2148566055477193E-2</v>
          </cell>
          <cell r="AS66">
            <v>9.6441947565543071E-2</v>
          </cell>
          <cell r="AT66">
            <v>8.719101123595506E-2</v>
          </cell>
          <cell r="AU66">
            <v>6.1003861003861001E-2</v>
          </cell>
          <cell r="AV66">
            <v>5.5900621118012424E-2</v>
          </cell>
          <cell r="AW66">
            <v>8.4116541353383464E-2</v>
          </cell>
          <cell r="AX66">
            <v>9.552656104380243E-2</v>
          </cell>
          <cell r="AY66">
            <v>4.8750000000000002E-2</v>
          </cell>
          <cell r="AZ66">
            <v>7.1586389748121967E-2</v>
          </cell>
          <cell r="BA66">
            <v>0.14853556485355648</v>
          </cell>
          <cell r="BB66">
            <v>0.1107242339832869</v>
          </cell>
          <cell r="BC66">
            <v>9.4833224329627208E-2</v>
          </cell>
          <cell r="BD66">
            <v>7.6062639821029079E-2</v>
          </cell>
          <cell r="BE66">
            <v>7.6734369901796995E-2</v>
          </cell>
          <cell r="BF66">
            <v>9.5074614259841164E-2</v>
          </cell>
          <cell r="BG66">
            <v>0.10317554868471028</v>
          </cell>
          <cell r="BH66">
            <v>6.138992279897186E-2</v>
          </cell>
          <cell r="BI66">
            <v>9.8080182628457746E-2</v>
          </cell>
          <cell r="BJ66">
            <v>0.11643319321055236</v>
          </cell>
          <cell r="BK66">
            <v>8.4486555495056792E-2</v>
          </cell>
          <cell r="BL66">
            <v>9.0411019624017541E-2</v>
          </cell>
          <cell r="BM66">
            <v>6.5286774368284436E-2</v>
          </cell>
          <cell r="BN66">
            <v>7.9519901708135055E-2</v>
          </cell>
          <cell r="BO66">
            <v>8.0169472742578796E-2</v>
          </cell>
          <cell r="BP66">
            <v>7.768884642422981E-2</v>
          </cell>
          <cell r="BQ66">
            <v>5.8069566640809908E-2</v>
          </cell>
          <cell r="BR66">
            <v>6.9133425231855047E-2</v>
          </cell>
          <cell r="BS66">
            <v>6.9197188296403062E-2</v>
          </cell>
          <cell r="BT66">
            <v>6.9230769230769235E-2</v>
          </cell>
          <cell r="BU66">
            <v>5.0197628458498025E-2</v>
          </cell>
          <cell r="BV66">
            <v>6.1685823754789273E-2</v>
          </cell>
          <cell r="BW66">
            <v>7.6492537313432835E-2</v>
          </cell>
          <cell r="BX66">
            <v>6.4727272727272731E-2</v>
          </cell>
          <cell r="BY66">
            <v>5.7039711191335739E-2</v>
          </cell>
          <cell r="BZ66">
            <v>5.1929824561403506E-2</v>
          </cell>
          <cell r="CA66">
            <v>5.8552164655784243E-2</v>
          </cell>
          <cell r="CB66">
            <v>6.2256809338521402E-2</v>
          </cell>
          <cell r="CC66">
            <v>6.4745508982035932E-2</v>
          </cell>
          <cell r="CD66">
            <v>5.1005212211466866E-2</v>
          </cell>
          <cell r="CE66">
            <v>3.0892448512585814E-2</v>
          </cell>
          <cell r="CF66">
            <v>2.7037466203167246E-2</v>
          </cell>
          <cell r="CG66">
            <v>3.5491419656786274E-2</v>
          </cell>
          <cell r="CH66">
            <v>2.8717545239968528E-2</v>
          </cell>
          <cell r="CI66">
            <v>3.0314097881665451E-2</v>
          </cell>
          <cell r="CJ66">
            <v>3.115501519756839E-2</v>
          </cell>
          <cell r="CK66">
            <v>2.3505976095617529E-2</v>
          </cell>
          <cell r="CL66">
            <v>1.7361111111111112E-2</v>
          </cell>
          <cell r="CM66">
            <v>2.1619496855345911E-2</v>
          </cell>
          <cell r="CN66">
            <v>2.1292491595069109E-2</v>
          </cell>
          <cell r="CO66">
            <v>2.2544283413848631E-2</v>
          </cell>
          <cell r="CP66">
            <v>1.539708265802269E-2</v>
          </cell>
          <cell r="CQ66">
            <v>2.4599329109206113E-2</v>
          </cell>
          <cell r="CR66">
            <v>1.6713091922005572E-2</v>
          </cell>
          <cell r="CS66">
            <v>2.0272631946871723E-2</v>
          </cell>
          <cell r="CT66">
            <v>1.6777350576721427E-2</v>
          </cell>
          <cell r="CU66">
            <v>2.309635510645976E-2</v>
          </cell>
          <cell r="CV66">
            <v>2.1880998080614205E-2</v>
          </cell>
          <cell r="CW66">
            <v>1.891891891891892E-2</v>
          </cell>
          <cell r="CX66">
            <v>1.4348345954563571E-2</v>
          </cell>
          <cell r="CY66">
            <v>2.199170124481328E-2</v>
          </cell>
          <cell r="CZ66">
            <v>1.4748054076198279E-2</v>
          </cell>
          <cell r="DA66">
            <v>2.1957913998170174E-2</v>
          </cell>
          <cell r="DB66">
            <v>1.1175681716584712E-2</v>
          </cell>
          <cell r="DC66">
            <v>1.8078020932445291E-2</v>
          </cell>
          <cell r="DD66">
            <v>8.049242424242424E-3</v>
          </cell>
          <cell r="DE66">
            <v>1.2048192771084338E-2</v>
          </cell>
          <cell r="DF66">
            <v>1.3831258644536652E-2</v>
          </cell>
          <cell r="DG66">
            <v>1.3132295719844358E-2</v>
          </cell>
          <cell r="DH66">
            <v>1.0471204188481676E-2</v>
          </cell>
          <cell r="DI66">
            <v>1.2334399269072635E-2</v>
          </cell>
          <cell r="DJ66">
            <v>1.3199817933545745E-2</v>
          </cell>
          <cell r="DK66">
            <v>9.7623089983022073E-3</v>
          </cell>
          <cell r="DL66">
            <v>4.4424700133274099E-3</v>
          </cell>
          <cell r="DM66">
            <v>7.819287576020852E-3</v>
          </cell>
          <cell r="DN66">
            <v>1.0948905109489052E-2</v>
          </cell>
          <cell r="DO66">
            <v>7.6481835564053535E-3</v>
          </cell>
          <cell r="DP66">
            <v>7.6844262295081966E-3</v>
          </cell>
          <cell r="DQ66">
            <v>1.001669449081803E-2</v>
          </cell>
          <cell r="DR66">
            <v>2.9515938606847697E-3</v>
          </cell>
          <cell r="DS66">
            <v>7.0108349267049078E-3</v>
          </cell>
        </row>
        <row r="67">
          <cell r="A67" t="str">
            <v>San Jose</v>
          </cell>
          <cell r="B67">
            <v>0.10838709677419354</v>
          </cell>
          <cell r="C67">
            <v>9.6594427244582046E-2</v>
          </cell>
          <cell r="D67">
            <v>9.1809775429326293E-2</v>
          </cell>
          <cell r="E67">
            <v>9.6055979643765901E-2</v>
          </cell>
          <cell r="F67">
            <v>9.2717356432467118E-2</v>
          </cell>
          <cell r="G67">
            <v>8.9320388349514557E-2</v>
          </cell>
          <cell r="H67">
            <v>9.8684210526315791E-2</v>
          </cell>
          <cell r="I67">
            <v>0.10746812386156648</v>
          </cell>
          <cell r="J67">
            <v>9.2636579572446559E-2</v>
          </cell>
          <cell r="K67">
            <v>0.10046728971962617</v>
          </cell>
          <cell r="L67">
            <v>0.10804597701149425</v>
          </cell>
          <cell r="M67">
            <v>0.10765687967760507</v>
          </cell>
          <cell r="N67">
            <v>9.2873831775700938E-2</v>
          </cell>
          <cell r="O67">
            <v>7.8330474556889657E-2</v>
          </cell>
          <cell r="P67">
            <v>7.4292452830188677E-2</v>
          </cell>
          <cell r="Q67">
            <v>9.375E-2</v>
          </cell>
          <cell r="R67">
            <v>0.11651651651651651</v>
          </cell>
          <cell r="S67">
            <v>9.8732488325550372E-2</v>
          </cell>
          <cell r="T67">
            <v>9.45945945945946E-2</v>
          </cell>
          <cell r="U67">
            <v>8.8380716934487027E-2</v>
          </cell>
          <cell r="V67">
            <v>0.12589227774172615</v>
          </cell>
          <cell r="W67">
            <v>9.2258064516129029E-2</v>
          </cell>
          <cell r="X67">
            <v>8.3437892095357596E-2</v>
          </cell>
          <cell r="Y67">
            <v>8.2331730769230768E-2</v>
          </cell>
          <cell r="Z67">
            <v>9.4102885821831864E-2</v>
          </cell>
          <cell r="AA67">
            <v>0.11159600997506235</v>
          </cell>
          <cell r="AB67">
            <v>8.890330953926022E-2</v>
          </cell>
          <cell r="AC67">
            <v>0.10564304461942257</v>
          </cell>
          <cell r="AD67">
            <v>9.3350383631713552E-2</v>
          </cell>
          <cell r="AE67">
            <v>8.2000000000000003E-2</v>
          </cell>
          <cell r="AF67">
            <v>8.5134250163719713E-2</v>
          </cell>
          <cell r="AG67">
            <v>8.1081081081081086E-2</v>
          </cell>
          <cell r="AH67">
            <v>6.4802182810368356E-2</v>
          </cell>
          <cell r="AI67">
            <v>8.3916083916083919E-2</v>
          </cell>
          <cell r="AJ67">
            <v>8.4604715672676842E-2</v>
          </cell>
          <cell r="AK67">
            <v>7.628865979381444E-2</v>
          </cell>
          <cell r="AL67">
            <v>9.6439169139465875E-2</v>
          </cell>
          <cell r="AM67">
            <v>7.8556263269639062E-2</v>
          </cell>
          <cell r="AN67">
            <v>9.4653179190751446E-2</v>
          </cell>
          <cell r="AO67">
            <v>7.0721357850070721E-2</v>
          </cell>
          <cell r="AP67">
            <v>6.4971751412429377E-2</v>
          </cell>
          <cell r="AQ67">
            <v>8.3781706379707915E-2</v>
          </cell>
          <cell r="AR67">
            <v>8.6780210867802104E-2</v>
          </cell>
          <cell r="AS67">
            <v>5.3600000000000002E-2</v>
          </cell>
          <cell r="AT67">
            <v>5.9856344772545887E-2</v>
          </cell>
          <cell r="AU67">
            <v>4.4303797468354431E-2</v>
          </cell>
          <cell r="AV67">
            <v>4.7799696509863432E-2</v>
          </cell>
          <cell r="AW67">
            <v>5.0887573964497043E-2</v>
          </cell>
          <cell r="AX67">
            <v>5.033353547604609E-2</v>
          </cell>
          <cell r="AY67">
            <v>4.5657015590200446E-2</v>
          </cell>
          <cell r="AZ67">
            <v>7.0992366412213737E-2</v>
          </cell>
          <cell r="BA67">
            <v>4.4635865309318713E-2</v>
          </cell>
          <cell r="BB67">
            <v>4.1699449252557044E-2</v>
          </cell>
          <cell r="BC67">
            <v>5.4892601431980909E-2</v>
          </cell>
          <cell r="BD67">
            <v>4.1057759220598469E-2</v>
          </cell>
          <cell r="BE67">
            <v>4.9453444761077159E-2</v>
          </cell>
          <cell r="BF67">
            <v>4.4065451963352827E-2</v>
          </cell>
          <cell r="BG67">
            <v>6.4904891266400561E-2</v>
          </cell>
          <cell r="BH67">
            <v>4.0946633578865917E-2</v>
          </cell>
          <cell r="BI67">
            <v>7.0399745361545918E-2</v>
          </cell>
          <cell r="BJ67">
            <v>3.7316091263060597E-2</v>
          </cell>
          <cell r="BK67">
            <v>3.7466315402076358E-2</v>
          </cell>
          <cell r="BL67">
            <v>3.4472476392289633E-2</v>
          </cell>
          <cell r="BM67">
            <v>4.144817531602369E-2</v>
          </cell>
          <cell r="BN67">
            <v>2.991903031212571E-2</v>
          </cell>
          <cell r="BO67">
            <v>4.640480789038097E-2</v>
          </cell>
          <cell r="BP67">
            <v>3.1526005261903918E-2</v>
          </cell>
          <cell r="BQ67">
            <v>4.1097171649883635E-2</v>
          </cell>
          <cell r="BR67">
            <v>4.4619576060744147E-2</v>
          </cell>
          <cell r="BS67">
            <v>3.9464320128878752E-2</v>
          </cell>
          <cell r="BT67">
            <v>3.4435483870967738E-2</v>
          </cell>
          <cell r="BU67">
            <v>3.2666666666666663E-2</v>
          </cell>
          <cell r="BV67">
            <v>3.4744525547445254E-2</v>
          </cell>
          <cell r="BW67">
            <v>3.9499999999999993E-2</v>
          </cell>
          <cell r="BX67">
            <v>2.8538461538461537E-2</v>
          </cell>
          <cell r="BY67">
            <v>3.3055555555555553E-2</v>
          </cell>
          <cell r="BZ67">
            <v>3.6381578947368418E-2</v>
          </cell>
          <cell r="CA67">
            <v>2.8378378378378376E-2</v>
          </cell>
          <cell r="CB67">
            <v>2.8450920245398772E-2</v>
          </cell>
          <cell r="CC67">
            <v>3.4426229508196717E-2</v>
          </cell>
          <cell r="CD67">
            <v>3.2389046270066099E-2</v>
          </cell>
          <cell r="CE67">
            <v>2.7411652340019101E-2</v>
          </cell>
          <cell r="CF67">
            <v>3.8375634517766495E-2</v>
          </cell>
          <cell r="CG67">
            <v>4.0036900369003689E-2</v>
          </cell>
          <cell r="CH67">
            <v>2.3381294964028777E-2</v>
          </cell>
          <cell r="CI67">
            <v>3.0927835051546393E-2</v>
          </cell>
          <cell r="CJ67">
            <v>1.9653179190751446E-2</v>
          </cell>
          <cell r="CK67">
            <v>2.2516556291390728E-2</v>
          </cell>
          <cell r="CL67">
            <v>1.5276893698281349E-2</v>
          </cell>
          <cell r="CM67">
            <v>2.1345407503234153E-2</v>
          </cell>
          <cell r="CN67">
            <v>2.6168224299065422E-2</v>
          </cell>
          <cell r="CO67">
            <v>2.403846153846154E-2</v>
          </cell>
          <cell r="CP67">
            <v>1.2980269989615784E-2</v>
          </cell>
          <cell r="CQ67">
            <v>1.5231400117164616E-2</v>
          </cell>
          <cell r="CR67">
            <v>1.9768234492160874E-2</v>
          </cell>
          <cell r="CS67">
            <v>1.8417462482946793E-2</v>
          </cell>
          <cell r="CT67">
            <v>2.3192360163710776E-2</v>
          </cell>
          <cell r="CU67">
            <v>1.0501750291715286E-2</v>
          </cell>
          <cell r="CV67">
            <v>1.6362492133417242E-2</v>
          </cell>
          <cell r="CW67">
            <v>1.2391573729863693E-2</v>
          </cell>
          <cell r="CX67">
            <v>1.1533242876526458E-2</v>
          </cell>
          <cell r="CY67">
            <v>1.077996195307546E-2</v>
          </cell>
          <cell r="CZ67">
            <v>1.1635423400129283E-2</v>
          </cell>
          <cell r="DA67">
            <v>1.0500308832612723E-2</v>
          </cell>
          <cell r="DB67">
            <v>1.2931034482758621E-2</v>
          </cell>
          <cell r="DC67">
            <v>1.5395894428152493E-2</v>
          </cell>
          <cell r="DD67">
            <v>6.8917987594762234E-3</v>
          </cell>
          <cell r="DE67">
            <v>7.4880871341048332E-3</v>
          </cell>
          <cell r="DF67">
            <v>9.6286107290233843E-3</v>
          </cell>
          <cell r="DG67">
            <v>9.372746935832732E-3</v>
          </cell>
          <cell r="DH67">
            <v>5.5478502080443829E-3</v>
          </cell>
          <cell r="DI67">
            <v>1.0378057820607857E-2</v>
          </cell>
          <cell r="DJ67">
            <v>7.3726541554959783E-3</v>
          </cell>
          <cell r="DK67">
            <v>1.314878892733564E-2</v>
          </cell>
          <cell r="DL67">
            <v>8.119079837618403E-3</v>
          </cell>
          <cell r="DM67">
            <v>7.9136690647482015E-3</v>
          </cell>
          <cell r="DN67">
            <v>4.1465100207325502E-3</v>
          </cell>
          <cell r="DO67">
            <v>3.9840637450199202E-3</v>
          </cell>
          <cell r="DP67">
            <v>6.8610634648370496E-3</v>
          </cell>
          <cell r="DQ67">
            <v>1.3052208835341365E-2</v>
          </cell>
          <cell r="DR67">
            <v>1.1627906976744186E-2</v>
          </cell>
          <cell r="DS67">
            <v>7.3761854583772393E-3</v>
          </cell>
        </row>
        <row r="68">
          <cell r="A68" t="str">
            <v>Soriano</v>
          </cell>
          <cell r="B68">
            <v>0.15570934256055363</v>
          </cell>
          <cell r="C68">
            <v>0.13252032520325202</v>
          </cell>
          <cell r="D68">
            <v>0.12126111560226355</v>
          </cell>
          <cell r="E68">
            <v>0.14717906786590351</v>
          </cell>
          <cell r="F68">
            <v>0.12668024439918535</v>
          </cell>
          <cell r="G68">
            <v>0.10633116883116883</v>
          </cell>
          <cell r="H68">
            <v>0.11216730038022814</v>
          </cell>
          <cell r="I68">
            <v>0.11731044349070101</v>
          </cell>
          <cell r="J68">
            <v>0.12283236994219653</v>
          </cell>
          <cell r="K68">
            <v>0.13371675053918045</v>
          </cell>
          <cell r="L68">
            <v>0.14449213161659513</v>
          </cell>
          <cell r="M68">
            <v>0.11656005685856433</v>
          </cell>
          <cell r="N68">
            <v>0.11030383091149273</v>
          </cell>
          <cell r="O68">
            <v>8.8679245283018862E-2</v>
          </cell>
          <cell r="P68">
            <v>8.6317135549872123E-2</v>
          </cell>
          <cell r="Q68">
            <v>0.10932475884244373</v>
          </cell>
          <cell r="R68">
            <v>0.12445278298936835</v>
          </cell>
          <cell r="S68">
            <v>0.11215580926796508</v>
          </cell>
          <cell r="T68">
            <v>0.11849529780564264</v>
          </cell>
          <cell r="U68">
            <v>0.10205278592375366</v>
          </cell>
          <cell r="V68">
            <v>9.1024020227560051E-2</v>
          </cell>
          <cell r="W68">
            <v>0.12937685459940654</v>
          </cell>
          <cell r="X68">
            <v>9.1710758377425039E-2</v>
          </cell>
          <cell r="Y68">
            <v>9.3309859154929578E-2</v>
          </cell>
          <cell r="Z68">
            <v>9.4587493431424072E-2</v>
          </cell>
          <cell r="AA68">
            <v>0.1119606772255598</v>
          </cell>
          <cell r="AB68">
            <v>8.5199344620425999E-2</v>
          </cell>
          <cell r="AC68">
            <v>9.1403699673558214E-2</v>
          </cell>
          <cell r="AD68">
            <v>9.0422685928303909E-2</v>
          </cell>
          <cell r="AE68">
            <v>9.927611168562564E-2</v>
          </cell>
          <cell r="AF68">
            <v>9.6562184024266931E-2</v>
          </cell>
          <cell r="AG68">
            <v>6.9352371239163699E-2</v>
          </cell>
          <cell r="AH68">
            <v>0.10627753303964757</v>
          </cell>
          <cell r="AI68">
            <v>8.9048106448311154E-2</v>
          </cell>
          <cell r="AJ68">
            <v>7.8669482576557551E-2</v>
          </cell>
          <cell r="AK68">
            <v>8.7614926987560848E-2</v>
          </cell>
          <cell r="AL68">
            <v>8.7777777777777774E-2</v>
          </cell>
          <cell r="AM68">
            <v>9.387296233839236E-2</v>
          </cell>
          <cell r="AN68">
            <v>0.10396039603960396</v>
          </cell>
          <cell r="AO68">
            <v>7.0467993544916618E-2</v>
          </cell>
          <cell r="AP68">
            <v>9.42970073404856E-2</v>
          </cell>
          <cell r="AQ68">
            <v>7.0801317233809002E-2</v>
          </cell>
          <cell r="AR68">
            <v>9.5438175270108047E-2</v>
          </cell>
          <cell r="AS68">
            <v>5.4732041049030788E-2</v>
          </cell>
          <cell r="AT68">
            <v>5.9083379348426286E-2</v>
          </cell>
          <cell r="AU68">
            <v>4.8985650667986144E-2</v>
          </cell>
          <cell r="AV68">
            <v>7.2911392405063294E-2</v>
          </cell>
          <cell r="AW68">
            <v>4.5023696682464455E-2</v>
          </cell>
          <cell r="AX68">
            <v>5.2296498408367441E-2</v>
          </cell>
          <cell r="AY68">
            <v>5.2707930367504832E-2</v>
          </cell>
          <cell r="AZ68">
            <v>6.0638297872340423E-2</v>
          </cell>
          <cell r="BA68">
            <v>8.1003584229390677E-2</v>
          </cell>
          <cell r="BB68">
            <v>8.1765557163531108E-2</v>
          </cell>
          <cell r="BC68">
            <v>6.7193675889328064E-2</v>
          </cell>
          <cell r="BD68">
            <v>5.5524397083567024E-2</v>
          </cell>
          <cell r="BE68">
            <v>5.6878378914293662E-2</v>
          </cell>
          <cell r="BF68">
            <v>7.7468221027223741E-2</v>
          </cell>
          <cell r="BG68">
            <v>7.7218098643361835E-2</v>
          </cell>
          <cell r="BH68">
            <v>7.5824405828467625E-2</v>
          </cell>
          <cell r="BI68">
            <v>8.0142445402154219E-2</v>
          </cell>
          <cell r="BJ68">
            <v>7.6447515349271064E-2</v>
          </cell>
          <cell r="BK68">
            <v>8.9458293945312559E-2</v>
          </cell>
          <cell r="BL68">
            <v>8.2291397405412303E-2</v>
          </cell>
          <cell r="BM68">
            <v>7.6809900680833668E-2</v>
          </cell>
          <cell r="BN68">
            <v>5.43379688390166E-2</v>
          </cell>
          <cell r="BO68">
            <v>6.629428253125938E-2</v>
          </cell>
          <cell r="BP68">
            <v>5.0071861417227657E-2</v>
          </cell>
          <cell r="BQ68">
            <v>6.9205060411535527E-2</v>
          </cell>
          <cell r="BR68">
            <v>5.9392166793113023E-2</v>
          </cell>
          <cell r="BS68">
            <v>4.7410384557786518E-2</v>
          </cell>
          <cell r="BT68">
            <v>3.5329341317365266E-2</v>
          </cell>
          <cell r="BU68">
            <v>3.793103448275862E-2</v>
          </cell>
          <cell r="BV68">
            <v>4.7486033519553071E-2</v>
          </cell>
          <cell r="BW68">
            <v>4.7093023255813951E-2</v>
          </cell>
          <cell r="BX68">
            <v>4.0119760479041915E-2</v>
          </cell>
          <cell r="BY68">
            <v>4.189944134078212E-2</v>
          </cell>
          <cell r="BZ68">
            <v>3.6612021857923498E-2</v>
          </cell>
          <cell r="CA68">
            <v>3.130148270181219E-2</v>
          </cell>
          <cell r="CB68">
            <v>3.5616438356164383E-2</v>
          </cell>
          <cell r="CC68">
            <v>3.8379530916844352E-2</v>
          </cell>
          <cell r="CD68">
            <v>3.2203389830508473E-2</v>
          </cell>
          <cell r="CE68">
            <v>3.5888077858880776E-2</v>
          </cell>
          <cell r="CF68">
            <v>2.8356481481481483E-2</v>
          </cell>
          <cell r="CG68">
            <v>3.0821917808219176E-2</v>
          </cell>
          <cell r="CH68">
            <v>2.171361502347418E-2</v>
          </cell>
          <cell r="CI68">
            <v>2.5252525252525252E-2</v>
          </cell>
          <cell r="CJ68">
            <v>2.5982256020278833E-2</v>
          </cell>
          <cell r="CK68">
            <v>1.8518518518518517E-2</v>
          </cell>
          <cell r="CL68">
            <v>2.0227560050568902E-2</v>
          </cell>
          <cell r="CM68">
            <v>1.8147684605757195E-2</v>
          </cell>
          <cell r="CN68">
            <v>1.5262515262515262E-2</v>
          </cell>
          <cell r="CO68">
            <v>1.9028871391076115E-2</v>
          </cell>
          <cell r="CP68">
            <v>1.8170019467878003E-2</v>
          </cell>
          <cell r="CQ68">
            <v>2.25705329153605E-2</v>
          </cell>
          <cell r="CR68">
            <v>1.772816808929744E-2</v>
          </cell>
          <cell r="CS68">
            <v>2.1470396877033181E-2</v>
          </cell>
          <cell r="CT68">
            <v>2.4072869225764477E-2</v>
          </cell>
          <cell r="CU68">
            <v>1.4857881136950904E-2</v>
          </cell>
          <cell r="CV68">
            <v>1.36275146009085E-2</v>
          </cell>
          <cell r="CW68">
            <v>1.1897307451471509E-2</v>
          </cell>
          <cell r="CX68">
            <v>1.7964071856287425E-2</v>
          </cell>
          <cell r="CY68">
            <v>1.7857142857142856E-2</v>
          </cell>
          <cell r="CZ68">
            <v>1.7461383478844864E-2</v>
          </cell>
          <cell r="DA68">
            <v>1.8505338078291814E-2</v>
          </cell>
          <cell r="DB68">
            <v>1.4905149051490514E-2</v>
          </cell>
          <cell r="DC68">
            <v>1.0494752623688156E-2</v>
          </cell>
          <cell r="DD68">
            <v>5.7096247960848291E-3</v>
          </cell>
          <cell r="DE68">
            <v>1.676829268292683E-2</v>
          </cell>
          <cell r="DF68">
            <v>1.1547344110854504E-2</v>
          </cell>
          <cell r="DG68">
            <v>4.8780487804878049E-3</v>
          </cell>
          <cell r="DH68">
            <v>8.7873462214411256E-3</v>
          </cell>
          <cell r="DI68">
            <v>1.8001800180018002E-2</v>
          </cell>
          <cell r="DJ68">
            <v>7.073386383731211E-3</v>
          </cell>
          <cell r="DK68">
            <v>9.4991364421416237E-3</v>
          </cell>
          <cell r="DL68">
            <v>7.9646017699115043E-3</v>
          </cell>
          <cell r="DM68">
            <v>9.5735422106179285E-3</v>
          </cell>
          <cell r="DN68">
            <v>9.5155709342560554E-3</v>
          </cell>
          <cell r="DO68">
            <v>2.7223230490018148E-3</v>
          </cell>
          <cell r="DP68">
            <v>8.6114101184068884E-3</v>
          </cell>
          <cell r="DQ68">
            <v>6.2047569803516025E-3</v>
          </cell>
          <cell r="DR68">
            <v>4.7393364928909956E-3</v>
          </cell>
          <cell r="DS68">
            <v>3.5714285714285713E-3</v>
          </cell>
        </row>
        <row r="69">
          <cell r="A69" t="str">
            <v>Tacuarembo</v>
          </cell>
          <cell r="B69">
            <v>8.9506172839506168E-2</v>
          </cell>
          <cell r="C69">
            <v>8.5180055401662055E-2</v>
          </cell>
          <cell r="D69">
            <v>0.11330049261083744</v>
          </cell>
          <cell r="E69">
            <v>0.12046543463381246</v>
          </cell>
          <cell r="F69">
            <v>8.9315525876460772E-2</v>
          </cell>
          <cell r="G69">
            <v>6.7979371776840131E-2</v>
          </cell>
          <cell r="H69">
            <v>8.3925642427556041E-2</v>
          </cell>
          <cell r="I69">
            <v>0.10622950819672131</v>
          </cell>
          <cell r="J69">
            <v>0.10253317249698432</v>
          </cell>
          <cell r="K69">
            <v>0.10960629921259843</v>
          </cell>
          <cell r="L69">
            <v>0.11733684904416612</v>
          </cell>
          <cell r="M69">
            <v>0.14812611540749554</v>
          </cell>
          <cell r="N69">
            <v>0.14378698224852071</v>
          </cell>
          <cell r="O69">
            <v>7.8048780487804878E-2</v>
          </cell>
          <cell r="P69">
            <v>0.10887096774193548</v>
          </cell>
          <cell r="Q69">
            <v>0.10151430173864273</v>
          </cell>
          <cell r="R69">
            <v>0.1341317365269461</v>
          </cell>
          <cell r="S69">
            <v>0.12555309734513273</v>
          </cell>
          <cell r="T69">
            <v>0.11446360153256704</v>
          </cell>
          <cell r="U69">
            <v>8.5050184891706293E-2</v>
          </cell>
          <cell r="V69">
            <v>0.1253291205897841</v>
          </cell>
          <cell r="W69">
            <v>0.1275239107332625</v>
          </cell>
          <cell r="X69">
            <v>8.6885245901639346E-2</v>
          </cell>
          <cell r="Y69">
            <v>0.10982658959537572</v>
          </cell>
          <cell r="Z69">
            <v>9.4069529652351741E-2</v>
          </cell>
          <cell r="AA69">
            <v>0.11351909184726522</v>
          </cell>
          <cell r="AB69">
            <v>8.133268005879471E-2</v>
          </cell>
          <cell r="AC69">
            <v>8.9929994614970379E-2</v>
          </cell>
          <cell r="AD69">
            <v>8.908467939304944E-2</v>
          </cell>
          <cell r="AE69">
            <v>0.10309777347531461</v>
          </cell>
          <cell r="AF69">
            <v>0.10126012601260126</v>
          </cell>
          <cell r="AG69">
            <v>9.8812351543942994E-2</v>
          </cell>
          <cell r="AH69">
            <v>9.8571428571428574E-2</v>
          </cell>
          <cell r="AI69">
            <v>0.10356164383561643</v>
          </cell>
          <cell r="AJ69">
            <v>0.18921389396709323</v>
          </cell>
          <cell r="AK69">
            <v>0.10867293625914315</v>
          </cell>
          <cell r="AL69">
            <v>7.9306722689075626E-2</v>
          </cell>
          <cell r="AM69">
            <v>0.12241958713394142</v>
          </cell>
          <cell r="AN69">
            <v>9.7724922440537751E-2</v>
          </cell>
          <cell r="AO69">
            <v>0.10996240601503759</v>
          </cell>
          <cell r="AP69">
            <v>9.1165413533834588E-2</v>
          </cell>
          <cell r="AQ69">
            <v>8.3931777378815076E-2</v>
          </cell>
          <cell r="AR69">
            <v>8.5494716618635933E-2</v>
          </cell>
          <cell r="AS69">
            <v>0.1037344398340249</v>
          </cell>
          <cell r="AT69">
            <v>6.8867155664221677E-2</v>
          </cell>
          <cell r="AU69">
            <v>5.6966897613548881E-2</v>
          </cell>
          <cell r="AV69">
            <v>5.0527081061432208E-2</v>
          </cell>
          <cell r="AW69">
            <v>5.1724137931034482E-2</v>
          </cell>
          <cell r="AX69">
            <v>4.4514546091833161E-2</v>
          </cell>
          <cell r="AY69">
            <v>3.1824417009602195E-2</v>
          </cell>
          <cell r="AZ69">
            <v>6.1080262493690057E-2</v>
          </cell>
          <cell r="BA69">
            <v>9.4423320659062102E-2</v>
          </cell>
          <cell r="BB69">
            <v>7.4519230769230768E-2</v>
          </cell>
          <cell r="BC69">
            <v>8.1353919239904982E-2</v>
          </cell>
          <cell r="BD69">
            <v>6.7259588660366867E-2</v>
          </cell>
          <cell r="BE69">
            <v>7.6848412857859275E-2</v>
          </cell>
          <cell r="BF69">
            <v>5.3121578636154063E-2</v>
          </cell>
          <cell r="BG69">
            <v>8.0292353167342956E-2</v>
          </cell>
          <cell r="BH69">
            <v>7.3474350815118647E-2</v>
          </cell>
          <cell r="BI69">
            <v>8.4039771609261182E-2</v>
          </cell>
          <cell r="BJ69">
            <v>5.8247254699944684E-2</v>
          </cell>
          <cell r="BK69">
            <v>5.955536758268197E-2</v>
          </cell>
          <cell r="BL69">
            <v>6.9366880507739426E-2</v>
          </cell>
          <cell r="BM69">
            <v>5.5594154636435196E-2</v>
          </cell>
          <cell r="BN69">
            <v>5.7350208346135814E-2</v>
          </cell>
          <cell r="BO69">
            <v>5.5665358289177125E-2</v>
          </cell>
          <cell r="BP69">
            <v>5.5925652559427268E-2</v>
          </cell>
          <cell r="BQ69">
            <v>6.1835022672090505E-2</v>
          </cell>
          <cell r="BR69">
            <v>4.8476873028886251E-2</v>
          </cell>
          <cell r="BS69">
            <v>4.9482057916805627E-2</v>
          </cell>
          <cell r="BT69">
            <v>5.0454545454545453E-2</v>
          </cell>
          <cell r="BU69">
            <v>4.4019138755980861E-2</v>
          </cell>
          <cell r="BV69">
            <v>5.0724637681159424E-2</v>
          </cell>
          <cell r="BW69">
            <v>6.4285714285714279E-2</v>
          </cell>
          <cell r="BX69">
            <v>4.0686274509803923E-2</v>
          </cell>
          <cell r="BY69">
            <v>5.2558139534883724E-2</v>
          </cell>
          <cell r="BZ69">
            <v>4.1314553990610327E-2</v>
          </cell>
          <cell r="CA69">
            <v>4.3340380549682873E-2</v>
          </cell>
          <cell r="CB69">
            <v>3.8360483447188648E-2</v>
          </cell>
          <cell r="CC69">
            <v>2.7333677153171736E-2</v>
          </cell>
          <cell r="CD69">
            <v>3.411633109619687E-2</v>
          </cell>
          <cell r="CE69">
            <v>1.952662721893491E-2</v>
          </cell>
          <cell r="CF69">
            <v>2.4067388688327317E-2</v>
          </cell>
          <cell r="CG69">
            <v>1.9277108433734941E-2</v>
          </cell>
          <cell r="CH69">
            <v>3.215434083601286E-2</v>
          </cell>
          <cell r="CI69">
            <v>2.406679764243615E-2</v>
          </cell>
          <cell r="CJ69">
            <v>2.4590163934426229E-2</v>
          </cell>
          <cell r="CK69">
            <v>2.0670391061452513E-2</v>
          </cell>
          <cell r="CL69">
            <v>1.7714285714285714E-2</v>
          </cell>
          <cell r="CM69">
            <v>2.3630504833512353E-2</v>
          </cell>
          <cell r="CN69">
            <v>2.0042194092827006E-2</v>
          </cell>
          <cell r="CO69">
            <v>2.4403771491957847E-2</v>
          </cell>
          <cell r="CP69">
            <v>1.3625592417061612E-2</v>
          </cell>
          <cell r="CQ69">
            <v>1.9448946515397084E-2</v>
          </cell>
          <cell r="CR69">
            <v>1.4925373134328358E-2</v>
          </cell>
          <cell r="CS69">
            <v>1.6296296296296295E-2</v>
          </cell>
          <cell r="CT69">
            <v>1.9259259259259261E-2</v>
          </cell>
          <cell r="CU69">
            <v>1.7432646592709985E-2</v>
          </cell>
          <cell r="CV69">
            <v>1.7983651226158037E-2</v>
          </cell>
          <cell r="CW69">
            <v>1.0118043844856661E-2</v>
          </cell>
          <cell r="CX69">
            <v>1.6453382084095063E-2</v>
          </cell>
          <cell r="CY69">
            <v>1.5634047481181239E-2</v>
          </cell>
          <cell r="CZ69">
            <v>1.4634146341463415E-2</v>
          </cell>
          <cell r="DA69">
            <v>1.1472275334608031E-2</v>
          </cell>
          <cell r="DB69">
            <v>1.0902483343428226E-2</v>
          </cell>
          <cell r="DC69">
            <v>7.3475385745775165E-3</v>
          </cell>
          <cell r="DD69">
            <v>9.11854103343465E-3</v>
          </cell>
          <cell r="DE69">
            <v>7.7519379844961239E-3</v>
          </cell>
          <cell r="DF69">
            <v>7.1581961345740875E-3</v>
          </cell>
          <cell r="DG69">
            <v>8.8170462894930201E-3</v>
          </cell>
          <cell r="DH69">
            <v>6.2063615205585725E-3</v>
          </cell>
          <cell r="DI69">
            <v>1.4251781472684086E-2</v>
          </cell>
          <cell r="DJ69">
            <v>7.4515648286140089E-3</v>
          </cell>
          <cell r="DK69">
            <v>7.656967840735069E-3</v>
          </cell>
          <cell r="DL69">
            <v>9.324009324009324E-3</v>
          </cell>
          <cell r="DM69">
            <v>8.658008658008658E-3</v>
          </cell>
          <cell r="DN69">
            <v>8.778346744696415E-3</v>
          </cell>
          <cell r="DO69">
            <v>9.7481722177091799E-3</v>
          </cell>
          <cell r="DP69">
            <v>6.9686411149825784E-3</v>
          </cell>
          <cell r="DQ69">
            <v>6.3810391978122152E-3</v>
          </cell>
          <cell r="DR69">
            <v>7.3597056117755289E-3</v>
          </cell>
          <cell r="DS69">
            <v>1.0367577756833177E-2</v>
          </cell>
        </row>
        <row r="70">
          <cell r="A70" t="str">
            <v>Treinta y Tres</v>
          </cell>
          <cell r="B70">
            <v>0.10478359908883828</v>
          </cell>
          <cell r="C70">
            <v>4.8979591836734691E-2</v>
          </cell>
          <cell r="D70">
            <v>8.4937712344280866E-2</v>
          </cell>
          <cell r="E70">
            <v>7.6856649395509499E-2</v>
          </cell>
          <cell r="F70">
            <v>6.9162995594713658E-2</v>
          </cell>
          <cell r="G70">
            <v>6.1151079136690649E-2</v>
          </cell>
          <cell r="H70">
            <v>6.6822429906542052E-2</v>
          </cell>
          <cell r="I70">
            <v>7.2957198443579771E-2</v>
          </cell>
          <cell r="J70">
            <v>8.0074487895716945E-2</v>
          </cell>
          <cell r="K70">
            <v>8.3293441838200102E-2</v>
          </cell>
          <cell r="L70">
            <v>8.6699507389162558E-2</v>
          </cell>
          <cell r="M70">
            <v>6.1309030654515324E-2</v>
          </cell>
          <cell r="N70">
            <v>8.1118881118881117E-2</v>
          </cell>
          <cell r="O70">
            <v>7.4130105900151289E-2</v>
          </cell>
          <cell r="P70">
            <v>8.1699346405228759E-2</v>
          </cell>
          <cell r="Q70">
            <v>8.6486486486486491E-2</v>
          </cell>
          <cell r="R70">
            <v>0.12113617376775271</v>
          </cell>
          <cell r="S70">
            <v>0.11906677393403058</v>
          </cell>
          <cell r="T70">
            <v>7.792207792207792E-2</v>
          </cell>
          <cell r="U70">
            <v>8.8193456614509252E-2</v>
          </cell>
          <cell r="V70">
            <v>0.11837048424289008</v>
          </cell>
          <cell r="W70">
            <v>0.11215686274509803</v>
          </cell>
          <cell r="X70">
            <v>7.3170731707317069E-2</v>
          </cell>
          <cell r="Y70">
            <v>0.11228334589299171</v>
          </cell>
          <cell r="Z70">
            <v>0.13423831070889894</v>
          </cell>
          <cell r="AA70">
            <v>0.14058956916099774</v>
          </cell>
          <cell r="AB70">
            <v>8.9494163424124515E-2</v>
          </cell>
          <cell r="AC70">
            <v>9.1059602649006616E-2</v>
          </cell>
          <cell r="AD70">
            <v>0.11980830670926518</v>
          </cell>
          <cell r="AE70">
            <v>0.11407160699417153</v>
          </cell>
          <cell r="AF70">
            <v>0.10833333333333334</v>
          </cell>
          <cell r="AG70">
            <v>0.1285475792988314</v>
          </cell>
          <cell r="AH70">
            <v>0.12489379779099405</v>
          </cell>
          <cell r="AI70">
            <v>8.6599817684594349E-2</v>
          </cell>
          <cell r="AJ70">
            <v>0.11234042553191489</v>
          </cell>
          <cell r="AK70">
            <v>0.13854489164086686</v>
          </cell>
          <cell r="AL70">
            <v>0.10775510204081633</v>
          </cell>
          <cell r="AM70">
            <v>9.7802976612331685E-2</v>
          </cell>
          <cell r="AN70">
            <v>8.9036055923473148E-2</v>
          </cell>
          <cell r="AO70">
            <v>0.11806043569922699</v>
          </cell>
          <cell r="AP70">
            <v>9.7885669537979642E-2</v>
          </cell>
          <cell r="AQ70">
            <v>7.4051026757934041E-2</v>
          </cell>
          <cell r="AR70">
            <v>0.13730355665839536</v>
          </cell>
          <cell r="AS70">
            <v>0.10030864197530864</v>
          </cell>
          <cell r="AT70">
            <v>5.9187887130075709E-2</v>
          </cell>
          <cell r="AU70">
            <v>6.5737051792828682E-2</v>
          </cell>
          <cell r="AV70">
            <v>5.6485355648535567E-2</v>
          </cell>
          <cell r="AW70">
            <v>3.3576642335766425E-2</v>
          </cell>
          <cell r="AX70">
            <v>4.8908954100827691E-2</v>
          </cell>
          <cell r="AY70">
            <v>2.8620492272467088E-2</v>
          </cell>
          <cell r="AZ70">
            <v>7.6666666666666661E-2</v>
          </cell>
          <cell r="BA70">
            <v>8.00561797752809E-2</v>
          </cell>
          <cell r="BB70">
            <v>7.8313253012048195E-2</v>
          </cell>
          <cell r="BC70">
            <v>6.1583577712609971E-2</v>
          </cell>
          <cell r="BD70">
            <v>0.1069364161849711</v>
          </cell>
          <cell r="BE70">
            <v>7.9234683968850361E-2</v>
          </cell>
          <cell r="BF70">
            <v>6.7882336240646352E-2</v>
          </cell>
          <cell r="BG70">
            <v>7.8672344309850942E-2</v>
          </cell>
          <cell r="BH70">
            <v>8.632584780320611E-2</v>
          </cell>
          <cell r="BI70">
            <v>7.6720761486802583E-2</v>
          </cell>
          <cell r="BJ70">
            <v>6.8752429662923512E-2</v>
          </cell>
          <cell r="BK70">
            <v>5.1110666560072383E-2</v>
          </cell>
          <cell r="BL70">
            <v>3.9058095589249331E-2</v>
          </cell>
          <cell r="BM70">
            <v>5.8558583546750254E-2</v>
          </cell>
          <cell r="BN70">
            <v>6.3186113095293248E-2</v>
          </cell>
          <cell r="BO70">
            <v>6.9886149543177303E-2</v>
          </cell>
          <cell r="BP70">
            <v>4.374810871878497E-2</v>
          </cell>
          <cell r="BQ70">
            <v>7.907889090491016E-2</v>
          </cell>
          <cell r="BR70">
            <v>0.10538712243851858</v>
          </cell>
          <cell r="BS70">
            <v>7.686307029081306E-2</v>
          </cell>
          <cell r="BT70">
            <v>4.9484536082474224E-2</v>
          </cell>
          <cell r="BU70">
            <v>5.6862745098039215E-2</v>
          </cell>
          <cell r="BV70">
            <v>5.5913978494623658E-2</v>
          </cell>
          <cell r="BW70">
            <v>4.1176470588235294E-2</v>
          </cell>
          <cell r="BX70">
            <v>5.0515463917525774E-2</v>
          </cell>
          <cell r="BY70">
            <v>5.1818181818181819E-2</v>
          </cell>
          <cell r="BZ70">
            <v>6.3725490196078427E-2</v>
          </cell>
          <cell r="CA70">
            <v>4.8371174728529122E-2</v>
          </cell>
          <cell r="CB70">
            <v>4.6666666666666669E-2</v>
          </cell>
          <cell r="CC70">
            <v>3.0235162374020158E-2</v>
          </cell>
          <cell r="CD70">
            <v>3.8209606986899562E-2</v>
          </cell>
          <cell r="CE70">
            <v>0.04</v>
          </cell>
          <cell r="CF70">
            <v>2.5179856115107913E-2</v>
          </cell>
          <cell r="CG70">
            <v>3.2359081419624215E-2</v>
          </cell>
          <cell r="CH70">
            <v>3.3333333333333333E-2</v>
          </cell>
          <cell r="CI70">
            <v>2.6315789473684209E-2</v>
          </cell>
          <cell r="CJ70">
            <v>3.4090909090909088E-2</v>
          </cell>
          <cell r="CK70">
            <v>2.1634615384615384E-2</v>
          </cell>
          <cell r="CL70">
            <v>1.6355140186915886E-2</v>
          </cell>
          <cell r="CM70">
            <v>1.3274336283185841E-2</v>
          </cell>
          <cell r="CN70">
            <v>1.9428571428571427E-2</v>
          </cell>
          <cell r="CO70">
            <v>1.5670910871694418E-2</v>
          </cell>
          <cell r="CP70">
            <v>1.4176663031624863E-2</v>
          </cell>
          <cell r="CQ70">
            <v>2.1890547263681594E-2</v>
          </cell>
          <cell r="CR70">
            <v>2.5667351129363448E-2</v>
          </cell>
          <cell r="CS70">
            <v>1.6359918200408999E-2</v>
          </cell>
          <cell r="CT70">
            <v>1.6359918200408999E-2</v>
          </cell>
          <cell r="CU70">
            <v>1.3118062563067608E-2</v>
          </cell>
          <cell r="CV70">
            <v>1.3348164627363738E-2</v>
          </cell>
          <cell r="CW70">
            <v>1.6166281755196306E-2</v>
          </cell>
          <cell r="CX70">
            <v>1.5276145710928319E-2</v>
          </cell>
          <cell r="CY70">
            <v>2.056555269922879E-2</v>
          </cell>
          <cell r="CZ70">
            <v>1.7879948914431672E-2</v>
          </cell>
          <cell r="DA70">
            <v>2.0718232044198894E-2</v>
          </cell>
          <cell r="DB70">
            <v>1.6506189821182942E-2</v>
          </cell>
          <cell r="DC70">
            <v>1.6320474777448073E-2</v>
          </cell>
          <cell r="DD70">
            <v>2.8286189683860232E-2</v>
          </cell>
          <cell r="DE70">
            <v>9.3603744149765994E-3</v>
          </cell>
          <cell r="DF70">
            <v>1.386748844375963E-2</v>
          </cell>
          <cell r="DG70">
            <v>5.9084194977843431E-3</v>
          </cell>
          <cell r="DH70">
            <v>4.5045045045045045E-3</v>
          </cell>
          <cell r="DI70">
            <v>4.3541364296081275E-3</v>
          </cell>
          <cell r="DJ70">
            <v>7.1839080459770114E-3</v>
          </cell>
          <cell r="DK70">
            <v>1.2195121951219513E-2</v>
          </cell>
          <cell r="DL70">
            <v>9.5238095238095247E-3</v>
          </cell>
          <cell r="DM70">
            <v>7.8864353312302835E-3</v>
          </cell>
          <cell r="DN70">
            <v>6.5573770491803279E-3</v>
          </cell>
          <cell r="DO70">
            <v>5.2539404553415062E-3</v>
          </cell>
          <cell r="DP70">
            <v>1.4134275618374558E-2</v>
          </cell>
          <cell r="DQ70">
            <v>2.012072434607646E-3</v>
          </cell>
          <cell r="DR70">
            <v>7.677543186180422E-3</v>
          </cell>
          <cell r="DS70">
            <v>1.020408163265306E-2</v>
          </cell>
        </row>
      </sheetData>
      <sheetData sheetId="1">
        <row r="24">
          <cell r="K24">
            <v>0.2</v>
          </cell>
        </row>
        <row r="25">
          <cell r="K25">
            <v>-0.5</v>
          </cell>
        </row>
        <row r="26">
          <cell r="K26">
            <v>-0.3</v>
          </cell>
        </row>
      </sheetData>
      <sheetData sheetId="2">
        <row r="26">
          <cell r="BT26">
            <v>25990</v>
          </cell>
          <cell r="BU26">
            <v>26970</v>
          </cell>
          <cell r="BV26">
            <v>27520</v>
          </cell>
          <cell r="BW26">
            <v>27440</v>
          </cell>
          <cell r="BX26">
            <v>29040</v>
          </cell>
          <cell r="BY26">
            <v>28820</v>
          </cell>
          <cell r="BZ26">
            <v>28630</v>
          </cell>
          <cell r="CA26">
            <v>29340</v>
          </cell>
          <cell r="CB26">
            <v>28716</v>
          </cell>
          <cell r="CC26">
            <v>28094</v>
          </cell>
          <cell r="CD26">
            <v>26876</v>
          </cell>
          <cell r="CE26">
            <v>26802</v>
          </cell>
          <cell r="CF26">
            <v>27026</v>
          </cell>
          <cell r="CG26">
            <v>26593</v>
          </cell>
        </row>
        <row r="28">
          <cell r="BT28">
            <v>3200</v>
          </cell>
          <cell r="BU28">
            <v>3190</v>
          </cell>
          <cell r="BV28">
            <v>3370</v>
          </cell>
          <cell r="BW28">
            <v>3330</v>
          </cell>
          <cell r="BX28">
            <v>3460</v>
          </cell>
          <cell r="BY28">
            <v>3500</v>
          </cell>
          <cell r="BZ28">
            <v>3350</v>
          </cell>
          <cell r="CA28">
            <v>3035</v>
          </cell>
          <cell r="CB28">
            <v>3007</v>
          </cell>
          <cell r="CC28">
            <v>2962</v>
          </cell>
          <cell r="CD28">
            <v>3068</v>
          </cell>
          <cell r="CE28">
            <v>3258</v>
          </cell>
          <cell r="CF28">
            <v>3225</v>
          </cell>
          <cell r="CG28">
            <v>3220</v>
          </cell>
        </row>
        <row r="41">
          <cell r="BT41">
            <v>1240</v>
          </cell>
          <cell r="BU41">
            <v>1200</v>
          </cell>
          <cell r="BV41">
            <v>1370</v>
          </cell>
          <cell r="BW41">
            <v>1400</v>
          </cell>
          <cell r="BX41">
            <v>1300</v>
          </cell>
          <cell r="BY41">
            <v>1440</v>
          </cell>
          <cell r="BZ41">
            <v>1520</v>
          </cell>
          <cell r="CA41">
            <v>1406</v>
          </cell>
          <cell r="CB41">
            <v>1304</v>
          </cell>
          <cell r="CC41">
            <v>1159</v>
          </cell>
          <cell r="CD41">
            <v>1059</v>
          </cell>
          <cell r="CE41">
            <v>1047</v>
          </cell>
          <cell r="CF41">
            <v>985</v>
          </cell>
          <cell r="CG41">
            <v>1084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61"/>
  <sheetViews>
    <sheetView tabSelected="1" topLeftCell="DI1" workbookViewId="0">
      <selection activeCell="DU7" sqref="DU7"/>
    </sheetView>
  </sheetViews>
  <sheetFormatPr baseColWidth="10" defaultRowHeight="14.5" x14ac:dyDescent="0.35"/>
  <cols>
    <col min="1" max="1" width="18.26953125" customWidth="1"/>
    <col min="2" max="125" width="12.54296875" bestFit="1" customWidth="1"/>
  </cols>
  <sheetData>
    <row r="1" spans="1:123" x14ac:dyDescent="0.35">
      <c r="A1" t="s">
        <v>41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  <c r="DR1">
        <v>2020</v>
      </c>
      <c r="DS1">
        <v>2021</v>
      </c>
    </row>
    <row r="2" spans="1:123" x14ac:dyDescent="0.35">
      <c r="A2" t="s">
        <v>2</v>
      </c>
      <c r="B2">
        <v>0.1132880181260829</v>
      </c>
      <c r="C2">
        <v>0.12308282208588957</v>
      </c>
      <c r="D2">
        <v>0.11884094970640796</v>
      </c>
      <c r="E2">
        <v>0.11943069306930693</v>
      </c>
      <c r="F2">
        <v>0.10836658433086326</v>
      </c>
      <c r="G2">
        <v>9.677000908029576E-2</v>
      </c>
      <c r="H2">
        <v>0.10164954870837224</v>
      </c>
      <c r="I2">
        <v>0.10615126854954524</v>
      </c>
      <c r="J2">
        <v>9.7856899875269299E-2</v>
      </c>
      <c r="K2">
        <v>0.11264681780934171</v>
      </c>
      <c r="L2">
        <v>0.12639679527725067</v>
      </c>
      <c r="M2">
        <v>0.11665309446254071</v>
      </c>
      <c r="N2">
        <v>0.13782465917006667</v>
      </c>
      <c r="O2">
        <v>0.1169641143734408</v>
      </c>
      <c r="P2">
        <v>0.11054472763618191</v>
      </c>
      <c r="Q2">
        <v>0.14769874476987449</v>
      </c>
      <c r="R2">
        <v>0.11083875093253757</v>
      </c>
      <c r="S2">
        <v>0.10839428010042572</v>
      </c>
      <c r="T2">
        <v>0.11333469471104758</v>
      </c>
      <c r="U2">
        <v>0.11891620672353237</v>
      </c>
      <c r="V2">
        <v>0.13545514824287203</v>
      </c>
      <c r="W2">
        <v>9.8489761882701754E-2</v>
      </c>
      <c r="X2">
        <v>0.11142604074402125</v>
      </c>
      <c r="Y2">
        <v>0.11627499123114697</v>
      </c>
      <c r="Z2">
        <v>0.12746234067207415</v>
      </c>
      <c r="AA2">
        <v>0.1118216101000164</v>
      </c>
      <c r="AB2">
        <v>0.10991312441824387</v>
      </c>
      <c r="AC2">
        <v>0.12426666666666666</v>
      </c>
      <c r="AD2">
        <v>0.10018070112034695</v>
      </c>
      <c r="AE2">
        <v>9.5098179733409768E-2</v>
      </c>
      <c r="AF2">
        <v>0.11192130425810003</v>
      </c>
      <c r="AG2">
        <v>0.12981073664954618</v>
      </c>
      <c r="AH2">
        <v>0.11044880785413745</v>
      </c>
      <c r="AI2">
        <v>9.6059113300492605E-2</v>
      </c>
      <c r="AJ2">
        <v>9.3120870579090562E-2</v>
      </c>
      <c r="AK2">
        <v>0.10550968561448079</v>
      </c>
      <c r="AL2">
        <v>8.7448318901630392E-2</v>
      </c>
      <c r="AM2">
        <v>9.7779509154655234E-2</v>
      </c>
      <c r="AN2">
        <v>0.10030728709394206</v>
      </c>
      <c r="AO2">
        <v>8.1023454157782518E-2</v>
      </c>
      <c r="AP2">
        <v>8.6856904811497604E-2</v>
      </c>
      <c r="AQ2">
        <v>8.0515739661202929E-2</v>
      </c>
      <c r="AR2">
        <v>8.4310069259456583E-2</v>
      </c>
      <c r="AS2">
        <v>6.6153062523876219E-2</v>
      </c>
      <c r="AT2">
        <v>6.1251005382664106E-2</v>
      </c>
      <c r="AU2">
        <v>5.005988023952096E-2</v>
      </c>
      <c r="AV2">
        <v>4.8676748582230624E-2</v>
      </c>
      <c r="AW2">
        <v>7.5531367213355891E-2</v>
      </c>
      <c r="AX2">
        <v>6.570330296127562E-2</v>
      </c>
      <c r="AY2">
        <v>5.2314138784839058E-2</v>
      </c>
      <c r="AZ2">
        <v>6.0077299079231559E-2</v>
      </c>
      <c r="BA2">
        <v>7.0839908819919334E-2</v>
      </c>
      <c r="BB2">
        <v>5.876239206907579E-2</v>
      </c>
      <c r="BC2">
        <v>4.7497683039851711E-2</v>
      </c>
      <c r="BD2">
        <v>4.5813695591904631E-2</v>
      </c>
      <c r="BE2">
        <v>3.8245832290509311E-2</v>
      </c>
      <c r="BF2">
        <v>3.4981306440223084E-2</v>
      </c>
      <c r="BG2">
        <v>4.2582274089304477E-2</v>
      </c>
      <c r="BH2">
        <v>5.4100699934410974E-2</v>
      </c>
      <c r="BI2">
        <v>5.6956671807479202E-2</v>
      </c>
      <c r="BJ2">
        <v>4.9041527714610268E-2</v>
      </c>
      <c r="BK2">
        <v>4.6129391557863719E-2</v>
      </c>
      <c r="BL2">
        <v>4.7631746718396428E-2</v>
      </c>
      <c r="BM2">
        <v>5.0794637513457912E-2</v>
      </c>
      <c r="BN2">
        <v>5.5489620069653071E-2</v>
      </c>
      <c r="BO2">
        <v>5.5146964544503449E-2</v>
      </c>
      <c r="BP2">
        <v>4.5229622415351882E-2</v>
      </c>
      <c r="BQ2">
        <v>5.421037426374932E-2</v>
      </c>
      <c r="BR2">
        <v>5.9312057944599289E-2</v>
      </c>
      <c r="BS2">
        <v>5.4723151146953718E-2</v>
      </c>
      <c r="BT2">
        <v>5.032704886494805E-2</v>
      </c>
      <c r="BU2">
        <v>4.4938820912124582E-2</v>
      </c>
      <c r="BV2">
        <v>4.4825581395348833E-2</v>
      </c>
      <c r="BW2">
        <v>4.1851311953352767E-2</v>
      </c>
      <c r="BX2">
        <v>4.3181818181818182E-2</v>
      </c>
      <c r="BY2">
        <v>4.6259541984732824E-2</v>
      </c>
      <c r="BZ2">
        <v>4.3003842123646517E-2</v>
      </c>
      <c r="CA2">
        <v>4.9284253578732104E-2</v>
      </c>
      <c r="CB2">
        <v>4.4212285833681572E-2</v>
      </c>
      <c r="CC2">
        <v>3.6263970954652239E-2</v>
      </c>
      <c r="CD2">
        <v>3.6433993153743113E-2</v>
      </c>
      <c r="CE2">
        <v>3.2594582493843741E-2</v>
      </c>
      <c r="CF2">
        <v>2.9837933841485975E-2</v>
      </c>
      <c r="CG2">
        <v>2.6172300981461283E-2</v>
      </c>
      <c r="CH2">
        <v>3.259658246656761E-2</v>
      </c>
      <c r="CI2">
        <v>2.9664541169947326E-2</v>
      </c>
      <c r="CJ2">
        <v>2.7152970696298951E-2</v>
      </c>
      <c r="CK2">
        <v>2.3973521781912515E-2</v>
      </c>
      <c r="CL2">
        <v>2.0609318996415771E-2</v>
      </c>
      <c r="CM2">
        <v>2.0987328405491026E-2</v>
      </c>
      <c r="CN2">
        <v>2.0326428663709574E-2</v>
      </c>
      <c r="CO2">
        <v>2.0957812782907839E-2</v>
      </c>
      <c r="CP2">
        <v>1.9673523306284205E-2</v>
      </c>
      <c r="CQ2">
        <v>2.1268550902731827E-2</v>
      </c>
      <c r="CR2">
        <v>1.9758351101634684E-2</v>
      </c>
      <c r="CS2">
        <v>1.9951271089045187E-2</v>
      </c>
      <c r="CT2">
        <v>1.7330942858456305E-2</v>
      </c>
      <c r="CU2">
        <v>1.8270923538088214E-2</v>
      </c>
      <c r="CV2">
        <v>1.7313490905553935E-2</v>
      </c>
      <c r="CW2">
        <v>1.5241617110589176E-2</v>
      </c>
      <c r="CX2">
        <v>1.4614838120369431E-2</v>
      </c>
      <c r="CY2">
        <v>1.5261369974141865E-2</v>
      </c>
      <c r="CZ2">
        <v>1.2728840204878543E-2</v>
      </c>
      <c r="DA2">
        <v>1.5016743407283381E-2</v>
      </c>
      <c r="DB2">
        <v>1.346349836399721E-2</v>
      </c>
      <c r="DC2">
        <v>1.254746574211656E-2</v>
      </c>
      <c r="DD2">
        <v>1.0839669956317749E-2</v>
      </c>
      <c r="DE2">
        <v>1.2633413199738619E-2</v>
      </c>
      <c r="DF2">
        <v>1.0234077299945563E-2</v>
      </c>
      <c r="DG2">
        <v>9.3990010204629687E-3</v>
      </c>
      <c r="DH2">
        <v>7.6387798880343223E-3</v>
      </c>
      <c r="DI2">
        <v>8.0788074637756693E-3</v>
      </c>
      <c r="DJ2">
        <v>6.1053167133045027E-3</v>
      </c>
      <c r="DK2">
        <v>8.334170097399337E-3</v>
      </c>
      <c r="DL2">
        <v>7.2289156626506026E-3</v>
      </c>
      <c r="DM2">
        <v>7.3591989987484355E-3</v>
      </c>
      <c r="DN2">
        <v>7.4388391220074389E-3</v>
      </c>
      <c r="DO2">
        <v>6.9261591299370345E-3</v>
      </c>
      <c r="DP2">
        <v>6.6303871895915427E-3</v>
      </c>
      <c r="DQ2">
        <v>6.7767042404723562E-3</v>
      </c>
      <c r="DR2">
        <v>6.2455642299503195E-3</v>
      </c>
      <c r="DS2">
        <v>5.6118358720209901E-3</v>
      </c>
    </row>
    <row r="3" spans="1:123" x14ac:dyDescent="0.35">
      <c r="A3" t="s">
        <v>3</v>
      </c>
      <c r="B3">
        <v>0.1295215869311552</v>
      </c>
      <c r="C3">
        <v>0.13058035714285715</v>
      </c>
      <c r="D3">
        <v>0.19101123595505617</v>
      </c>
      <c r="E3">
        <v>0.14319809069212411</v>
      </c>
      <c r="F3">
        <v>0.11708683473389356</v>
      </c>
      <c r="G3">
        <v>9.398099260823653E-2</v>
      </c>
      <c r="H3">
        <v>0.12778684067427951</v>
      </c>
      <c r="I3">
        <v>0.16367713004484305</v>
      </c>
      <c r="J3">
        <v>0.14195583596214512</v>
      </c>
      <c r="K3">
        <v>0.15107161526398327</v>
      </c>
      <c r="L3">
        <v>0.16008316008316009</v>
      </c>
      <c r="M3">
        <v>0.16649949849548645</v>
      </c>
      <c r="N3">
        <v>0.14313346228239845</v>
      </c>
      <c r="O3">
        <v>0.13169845594913715</v>
      </c>
      <c r="P3">
        <v>0.13212669683257919</v>
      </c>
      <c r="Q3">
        <v>0.15280464216634429</v>
      </c>
      <c r="R3">
        <v>0.22440087145969498</v>
      </c>
      <c r="S3">
        <v>0.15009940357852883</v>
      </c>
      <c r="T3">
        <v>0.19239130434782609</v>
      </c>
      <c r="U3">
        <v>0.10542476970317298</v>
      </c>
      <c r="V3">
        <v>0.13012295081967212</v>
      </c>
      <c r="W3">
        <v>0.15519013360739981</v>
      </c>
      <c r="X3">
        <v>0.13299492385786801</v>
      </c>
      <c r="Y3">
        <v>0.15308151093439365</v>
      </c>
      <c r="Z3">
        <v>0.16850828729281769</v>
      </c>
      <c r="AA3">
        <v>0.16593886462882096</v>
      </c>
      <c r="AB3">
        <v>0.12903225806451613</v>
      </c>
      <c r="AC3">
        <v>0.18028419182948491</v>
      </c>
      <c r="AD3">
        <v>0.13977566867989646</v>
      </c>
      <c r="AE3">
        <v>0.12052730696798493</v>
      </c>
      <c r="AF3">
        <v>0.13178984861976847</v>
      </c>
      <c r="AG3">
        <v>0.1455223880597015</v>
      </c>
      <c r="AH3">
        <v>0.16281138790035588</v>
      </c>
      <c r="AI3">
        <v>0.1438415159345392</v>
      </c>
      <c r="AJ3">
        <v>0.14349376114081996</v>
      </c>
      <c r="AK3">
        <v>0.13127753303964756</v>
      </c>
      <c r="AL3">
        <v>0.13499570077386069</v>
      </c>
      <c r="AM3">
        <v>0.16979362101313319</v>
      </c>
      <c r="AN3">
        <v>0.12786596119929453</v>
      </c>
      <c r="AO3">
        <v>0.11350455675227837</v>
      </c>
      <c r="AP3">
        <v>0.11479028697571744</v>
      </c>
      <c r="AQ3">
        <v>0.10307298335467349</v>
      </c>
      <c r="AR3">
        <v>0.11629686304514154</v>
      </c>
      <c r="AS3">
        <v>0.1440677966101695</v>
      </c>
      <c r="AT3">
        <v>9.7697138869504541E-2</v>
      </c>
      <c r="AU3">
        <v>9.110169491525423E-2</v>
      </c>
      <c r="AV3">
        <v>4.9792531120331947E-2</v>
      </c>
      <c r="AW3">
        <v>7.720588235294118E-2</v>
      </c>
      <c r="AX3">
        <v>5.9646987218502742E-2</v>
      </c>
      <c r="AY3">
        <v>4.9368541905855337E-2</v>
      </c>
      <c r="AZ3">
        <v>0.11535337124289195</v>
      </c>
      <c r="BA3">
        <v>0.1264131551901336</v>
      </c>
      <c r="BB3">
        <v>0.10645724258289703</v>
      </c>
      <c r="BC3">
        <v>0.10237659963436929</v>
      </c>
      <c r="BD3">
        <v>6.5198237885462557E-2</v>
      </c>
      <c r="BE3">
        <v>0.11082701745247049</v>
      </c>
      <c r="BF3">
        <v>8.0833394913070969E-2</v>
      </c>
      <c r="BG3">
        <v>0.11873727994771395</v>
      </c>
      <c r="BH3">
        <v>0.10189478898245935</v>
      </c>
      <c r="BI3">
        <v>8.640633895568689E-2</v>
      </c>
      <c r="BJ3">
        <v>9.5230181146885529E-2</v>
      </c>
      <c r="BK3">
        <v>7.0968609216852538E-2</v>
      </c>
      <c r="BL3">
        <v>6.974255153678062E-2</v>
      </c>
      <c r="BM3">
        <v>8.1341416837273972E-2</v>
      </c>
      <c r="BN3">
        <v>5.6991520019889177E-2</v>
      </c>
      <c r="BO3">
        <v>8.728352932684863E-2</v>
      </c>
      <c r="BP3">
        <v>7.6483255968546451E-2</v>
      </c>
      <c r="BQ3">
        <v>8.0079062348740737E-2</v>
      </c>
      <c r="BR3">
        <v>9.1121234910904209E-2</v>
      </c>
      <c r="BS3">
        <v>6.8856230778151492E-2</v>
      </c>
      <c r="BT3">
        <v>4.7333333333333331E-2</v>
      </c>
      <c r="BU3">
        <v>5.2702702702702706E-2</v>
      </c>
      <c r="BV3">
        <v>6.225165562913907E-2</v>
      </c>
      <c r="BW3">
        <v>5.7894736842105263E-2</v>
      </c>
      <c r="BX3">
        <v>6.5034965034965031E-2</v>
      </c>
      <c r="BY3">
        <v>5.3435114503816793E-2</v>
      </c>
      <c r="BZ3">
        <v>5.2816901408450703E-2</v>
      </c>
      <c r="CA3">
        <v>5.2504038772213248E-2</v>
      </c>
      <c r="CB3">
        <v>4.4709388971684055E-2</v>
      </c>
      <c r="CC3">
        <v>3.7565740045078885E-2</v>
      </c>
      <c r="CD3">
        <v>3.4057971014492754E-2</v>
      </c>
      <c r="CE3">
        <v>3.591160220994475E-2</v>
      </c>
      <c r="CF3">
        <v>3.6298932384341634E-2</v>
      </c>
      <c r="CG3">
        <v>4.077540106951872E-2</v>
      </c>
      <c r="CH3">
        <v>2.9520295202952029E-2</v>
      </c>
      <c r="CI3">
        <v>2.954808806488992E-2</v>
      </c>
      <c r="CJ3">
        <v>2.132701421800948E-2</v>
      </c>
      <c r="CK3">
        <v>2.567237163814181E-2</v>
      </c>
      <c r="CL3">
        <v>2.3001725129384705E-2</v>
      </c>
      <c r="CM3">
        <v>2.1666666666666667E-2</v>
      </c>
      <c r="CN3">
        <v>1.9573978123200921E-2</v>
      </c>
      <c r="CO3">
        <v>2.3382272974442633E-2</v>
      </c>
      <c r="CP3">
        <v>2.2131624927198602E-2</v>
      </c>
      <c r="CQ3">
        <v>1.7462165308498253E-2</v>
      </c>
      <c r="CR3">
        <v>2.0224719101123594E-2</v>
      </c>
      <c r="CS3">
        <v>1.853932584269663E-2</v>
      </c>
      <c r="CT3">
        <v>2.4157303370786518E-2</v>
      </c>
      <c r="CU3">
        <v>2.3730684326710817E-2</v>
      </c>
      <c r="CV3">
        <v>1.831964624131396E-2</v>
      </c>
      <c r="CW3">
        <v>1.5974440894568689E-2</v>
      </c>
      <c r="CX3">
        <v>1.7663043478260868E-2</v>
      </c>
      <c r="CY3">
        <v>1.1204481792717087E-2</v>
      </c>
      <c r="CZ3">
        <v>1.31852879944483E-2</v>
      </c>
      <c r="DA3">
        <v>2.9850746268656716E-2</v>
      </c>
      <c r="DB3">
        <v>1.5479876160990712E-2</v>
      </c>
      <c r="DC3">
        <v>1.3181019332161687E-2</v>
      </c>
      <c r="DD3">
        <v>1.2832263978001834E-2</v>
      </c>
      <c r="DE3">
        <v>1.0752688172043012E-2</v>
      </c>
      <c r="DF3">
        <v>1.4349775784753363E-2</v>
      </c>
      <c r="DG3">
        <v>6.5843621399176953E-3</v>
      </c>
      <c r="DH3">
        <v>6.956521739130435E-3</v>
      </c>
      <c r="DI3">
        <v>1.1494252873563218E-2</v>
      </c>
      <c r="DJ3">
        <v>1.3077593722755012E-2</v>
      </c>
      <c r="DK3">
        <v>8.5910652920962206E-3</v>
      </c>
      <c r="DL3">
        <v>8.9206066012488851E-3</v>
      </c>
      <c r="DM3">
        <v>9.4043887147335428E-3</v>
      </c>
      <c r="DN3">
        <v>9.1743119266055051E-3</v>
      </c>
      <c r="DO3">
        <v>5.3908355795148251E-3</v>
      </c>
      <c r="DP3">
        <v>5.4298642533936649E-3</v>
      </c>
      <c r="DQ3">
        <v>6.653992395437262E-3</v>
      </c>
      <c r="DR3">
        <v>4.8780487804878049E-3</v>
      </c>
      <c r="DS3">
        <v>7.6701821668264617E-3</v>
      </c>
    </row>
    <row r="4" spans="1:123" x14ac:dyDescent="0.35">
      <c r="A4" t="s">
        <v>4</v>
      </c>
      <c r="B4">
        <v>9.7508896797153022E-2</v>
      </c>
      <c r="C4">
        <v>8.4805653710247356E-2</v>
      </c>
      <c r="D4">
        <v>8.5902320748181507E-2</v>
      </c>
      <c r="E4">
        <v>8.7405368203716444E-2</v>
      </c>
      <c r="F4">
        <v>7.2412575061815615E-2</v>
      </c>
      <c r="G4">
        <v>5.6603773584905662E-2</v>
      </c>
      <c r="H4">
        <v>7.7944774554351628E-2</v>
      </c>
      <c r="I4">
        <v>9.7774780849629137E-2</v>
      </c>
      <c r="J4">
        <v>7.5185643564356433E-2</v>
      </c>
      <c r="K4">
        <v>7.6590672030993887E-2</v>
      </c>
      <c r="L4">
        <v>7.7895947111238859E-2</v>
      </c>
      <c r="M4">
        <v>7.3191733639494827E-2</v>
      </c>
      <c r="N4">
        <v>8.7714366038796746E-2</v>
      </c>
      <c r="O4">
        <v>6.6350710900473939E-2</v>
      </c>
      <c r="P4">
        <v>5.5588063194850788E-2</v>
      </c>
      <c r="Q4">
        <v>7.9181494661921703E-2</v>
      </c>
      <c r="R4">
        <v>8.7431693989071038E-2</v>
      </c>
      <c r="S4">
        <v>7.6184577268504181E-2</v>
      </c>
      <c r="T4">
        <v>6.6057210262459448E-2</v>
      </c>
      <c r="U4">
        <v>7.0223025919228452E-2</v>
      </c>
      <c r="V4">
        <v>7.9157357165655917E-2</v>
      </c>
      <c r="W4">
        <v>9.2150170648464161E-2</v>
      </c>
      <c r="X4">
        <v>7.2045251562965165E-2</v>
      </c>
      <c r="Y4">
        <v>6.3594470046082943E-2</v>
      </c>
      <c r="Z4">
        <v>6.837862048372649E-2</v>
      </c>
      <c r="AA4">
        <v>8.6811857229280101E-2</v>
      </c>
      <c r="AB4">
        <v>7.0213424064336533E-2</v>
      </c>
      <c r="AC4">
        <v>7.8203517587939697E-2</v>
      </c>
      <c r="AD4">
        <v>7.2613458528951486E-2</v>
      </c>
      <c r="AE4">
        <v>6.3389391979301421E-2</v>
      </c>
      <c r="AF4">
        <v>7.1835443037974678E-2</v>
      </c>
      <c r="AG4">
        <v>7.0547295159759577E-2</v>
      </c>
      <c r="AH4">
        <v>6.7913385826771658E-2</v>
      </c>
      <c r="AI4">
        <v>6.3768115942028983E-2</v>
      </c>
      <c r="AJ4">
        <v>6.4984445212582093E-2</v>
      </c>
      <c r="AK4">
        <v>6.7760342368045651E-2</v>
      </c>
      <c r="AL4">
        <v>6.7964872088583428E-2</v>
      </c>
      <c r="AM4">
        <v>6.8103116583301274E-2</v>
      </c>
      <c r="AN4">
        <v>8.3534136546184745E-2</v>
      </c>
      <c r="AO4">
        <v>5.2299703264094957E-2</v>
      </c>
      <c r="AP4">
        <v>6.3781321184510256E-2</v>
      </c>
      <c r="AQ4">
        <v>6.0161974546856921E-2</v>
      </c>
      <c r="AR4">
        <v>7.4615080931701536E-2</v>
      </c>
      <c r="AS4">
        <v>6.6459385930820056E-2</v>
      </c>
      <c r="AT4">
        <v>4.9777117384843979E-2</v>
      </c>
      <c r="AU4">
        <v>4.4983934309175293E-2</v>
      </c>
      <c r="AV4">
        <v>3.4144569560479475E-2</v>
      </c>
      <c r="AW4">
        <v>3.2248062015503877E-2</v>
      </c>
      <c r="AX4">
        <v>2.9394121175764846E-2</v>
      </c>
      <c r="AY4">
        <v>2.5898078529657476E-2</v>
      </c>
      <c r="AZ4">
        <v>3.4677990092002828E-2</v>
      </c>
      <c r="BA4">
        <v>2.972560975609756E-2</v>
      </c>
      <c r="BB4">
        <v>4.3478260869565216E-2</v>
      </c>
      <c r="BC4">
        <v>4.647731464404279E-2</v>
      </c>
      <c r="BD4">
        <v>4.4821731748726654E-2</v>
      </c>
      <c r="BE4">
        <v>4.6257517432315307E-2</v>
      </c>
      <c r="BF4">
        <v>4.59160092741559E-2</v>
      </c>
      <c r="BG4">
        <v>5.0200212984734108E-2</v>
      </c>
      <c r="BH4">
        <v>6.0128378475536585E-2</v>
      </c>
      <c r="BI4">
        <v>5.9146028666274844E-2</v>
      </c>
      <c r="BJ4">
        <v>5.533000270022808E-2</v>
      </c>
      <c r="BK4">
        <v>4.1104058214692062E-2</v>
      </c>
      <c r="BL4">
        <v>4.6758804769043642E-2</v>
      </c>
      <c r="BM4">
        <v>5.112753648353964E-2</v>
      </c>
      <c r="BN4">
        <v>4.3898514459846653E-2</v>
      </c>
      <c r="BO4">
        <v>4.6798288906249735E-2</v>
      </c>
      <c r="BP4">
        <v>4.6479321441153923E-2</v>
      </c>
      <c r="BQ4">
        <v>5.8917305614261055E-2</v>
      </c>
      <c r="BR4">
        <v>6.2153281399557114E-2</v>
      </c>
      <c r="BS4">
        <v>5.4207565970500284E-2</v>
      </c>
      <c r="BT4">
        <v>4.6875E-2</v>
      </c>
      <c r="BU4">
        <v>4.5768025078369905E-2</v>
      </c>
      <c r="BV4">
        <v>4.6587537091988131E-2</v>
      </c>
      <c r="BW4">
        <v>4.2792792792792793E-2</v>
      </c>
      <c r="BX4">
        <v>3.916184971098266E-2</v>
      </c>
      <c r="BY4">
        <v>4.8571428571428571E-2</v>
      </c>
      <c r="BZ4">
        <v>4.1791044776119404E-2</v>
      </c>
      <c r="CA4">
        <v>5.5518945634266889E-2</v>
      </c>
      <c r="CB4">
        <v>4.3398736282008646E-2</v>
      </c>
      <c r="CC4">
        <v>3.6968264686022954E-2</v>
      </c>
      <c r="CD4">
        <v>3.8624511082138199E-2</v>
      </c>
      <c r="CE4">
        <v>3.3456108041743399E-2</v>
      </c>
      <c r="CF4">
        <v>3.1007751937984496E-2</v>
      </c>
      <c r="CG4">
        <v>3.0279503105590064E-2</v>
      </c>
      <c r="CH4">
        <v>2.8171135884302499E-2</v>
      </c>
      <c r="CI4">
        <v>2.8354764259808769E-2</v>
      </c>
      <c r="CJ4">
        <v>2.8490028490028491E-2</v>
      </c>
      <c r="CK4">
        <v>2.5538066174108576E-2</v>
      </c>
      <c r="CL4">
        <v>2.0805666223992918E-2</v>
      </c>
      <c r="CM4">
        <v>2.164762477450391E-2</v>
      </c>
      <c r="CN4">
        <v>1.925780151813326E-2</v>
      </c>
      <c r="CO4">
        <v>2.1570066030814381E-2</v>
      </c>
      <c r="CP4">
        <v>1.8998029833943147E-2</v>
      </c>
      <c r="CQ4">
        <v>1.923587158397453E-2</v>
      </c>
      <c r="CR4">
        <v>1.8620508785733018E-2</v>
      </c>
      <c r="CS4">
        <v>1.6145970070884745E-2</v>
      </c>
      <c r="CT4">
        <v>1.6014702021527959E-2</v>
      </c>
      <c r="CU4">
        <v>1.4350545811357782E-2</v>
      </c>
      <c r="CV4">
        <v>1.540436456996149E-2</v>
      </c>
      <c r="CW4">
        <v>1.3417721518987341E-2</v>
      </c>
      <c r="CX4">
        <v>1.1738539478561721E-2</v>
      </c>
      <c r="CY4">
        <v>9.7160883280757102E-3</v>
      </c>
      <c r="CZ4">
        <v>1.3426156141223273E-2</v>
      </c>
      <c r="DA4">
        <v>1.3496307613954673E-2</v>
      </c>
      <c r="DB4">
        <v>1.1286089238845144E-2</v>
      </c>
      <c r="DC4">
        <v>1.2322015334063527E-2</v>
      </c>
      <c r="DD4">
        <v>9.1496232508073202E-3</v>
      </c>
      <c r="DE4">
        <v>1.3898540653231411E-2</v>
      </c>
      <c r="DF4">
        <v>1.1430990685859441E-2</v>
      </c>
      <c r="DG4">
        <v>8.7847730600292828E-3</v>
      </c>
      <c r="DH4">
        <v>5.7504312823461762E-3</v>
      </c>
      <c r="DI4">
        <v>9.1501240694789078E-3</v>
      </c>
      <c r="DJ4">
        <v>1.1676646706586826E-2</v>
      </c>
      <c r="DK4">
        <v>9.7597597597597601E-3</v>
      </c>
      <c r="DL4">
        <v>8.9311859443631045E-3</v>
      </c>
      <c r="DM4">
        <v>7.2321832153081208E-3</v>
      </c>
      <c r="DN4">
        <v>6.4635272391505077E-3</v>
      </c>
      <c r="DO4">
        <v>4.608294930875576E-3</v>
      </c>
      <c r="DP4">
        <v>6.5930149679258735E-3</v>
      </c>
      <c r="DQ4">
        <v>6.1943476577622919E-3</v>
      </c>
      <c r="DR4">
        <v>7.9797586609575717E-3</v>
      </c>
      <c r="DS4">
        <v>6.383855024711697E-3</v>
      </c>
    </row>
    <row r="5" spans="1:123" x14ac:dyDescent="0.35">
      <c r="A5" t="s">
        <v>5</v>
      </c>
      <c r="B5">
        <v>7.9315707620528766E-2</v>
      </c>
      <c r="C5">
        <v>9.1127098321342928E-2</v>
      </c>
      <c r="D5">
        <v>8.7242798353909468E-2</v>
      </c>
      <c r="E5">
        <v>9.1342335186656076E-2</v>
      </c>
      <c r="F5">
        <v>7.2401195616074387E-2</v>
      </c>
      <c r="G5">
        <v>5.878995433789954E-2</v>
      </c>
      <c r="H5">
        <v>7.2477650063856966E-2</v>
      </c>
      <c r="I5">
        <v>8.9855072463768115E-2</v>
      </c>
      <c r="J5">
        <v>0.1164337990685296</v>
      </c>
      <c r="K5">
        <v>0.12181303116147309</v>
      </c>
      <c r="L5">
        <v>0.1279333838001514</v>
      </c>
      <c r="M5">
        <v>0.11145320197044335</v>
      </c>
      <c r="N5">
        <v>0.11957168352171327</v>
      </c>
      <c r="O5">
        <v>0.10927717700626068</v>
      </c>
      <c r="P5">
        <v>0.10344827586206896</v>
      </c>
      <c r="Q5">
        <v>0.12406947890818859</v>
      </c>
      <c r="R5">
        <v>0.13595166163141995</v>
      </c>
      <c r="S5">
        <v>0.14039262343842951</v>
      </c>
      <c r="T5">
        <v>0.16586826347305389</v>
      </c>
      <c r="U5">
        <v>0.11672278338945005</v>
      </c>
      <c r="V5">
        <v>0.11105121293800539</v>
      </c>
      <c r="W5">
        <v>0.1118421052631579</v>
      </c>
      <c r="X5">
        <v>0.10262675626145389</v>
      </c>
      <c r="Y5">
        <v>0.15439856373429084</v>
      </c>
      <c r="Z5">
        <v>0.10334703464474457</v>
      </c>
      <c r="AA5">
        <v>0.1361111111111111</v>
      </c>
      <c r="AB5">
        <v>7.8125E-2</v>
      </c>
      <c r="AC5">
        <v>0.10409745293466224</v>
      </c>
      <c r="AD5">
        <v>0.11205523101433883</v>
      </c>
      <c r="AE5">
        <v>0.13597430406852248</v>
      </c>
      <c r="AF5">
        <v>0.10881104033970276</v>
      </c>
      <c r="AG5">
        <v>0.14721627408993576</v>
      </c>
      <c r="AH5">
        <v>0.11496149614961496</v>
      </c>
      <c r="AI5">
        <v>0.13810888252148998</v>
      </c>
      <c r="AJ5">
        <v>0.12537673297166968</v>
      </c>
      <c r="AK5">
        <v>0.16970802919708028</v>
      </c>
      <c r="AL5">
        <v>0.11767986614612382</v>
      </c>
      <c r="AM5">
        <v>0.1379495437466452</v>
      </c>
      <c r="AN5">
        <v>0.13520822065981611</v>
      </c>
      <c r="AO5">
        <v>0.11802575107296137</v>
      </c>
      <c r="AP5">
        <v>0.1152099886492622</v>
      </c>
      <c r="AQ5">
        <v>0.10457856399583768</v>
      </c>
      <c r="AR5">
        <v>0.13890489913544668</v>
      </c>
      <c r="AS5">
        <v>0.1270820481184454</v>
      </c>
      <c r="AT5">
        <v>0.10038058991436727</v>
      </c>
      <c r="AU5">
        <v>6.4733915806195391E-2</v>
      </c>
      <c r="AV5">
        <v>4.5606229143492771E-2</v>
      </c>
      <c r="AW5">
        <v>6.1224489795918366E-2</v>
      </c>
      <c r="AX5">
        <v>4.2947056645686786E-2</v>
      </c>
      <c r="AY5">
        <v>2.8639618138424822E-2</v>
      </c>
      <c r="AZ5">
        <v>7.3918269230769232E-2</v>
      </c>
      <c r="BA5">
        <v>7.303754266211604E-2</v>
      </c>
      <c r="BB5">
        <v>7.2083078802687842E-2</v>
      </c>
      <c r="BC5">
        <v>9.8001289490651192E-2</v>
      </c>
      <c r="BD5">
        <v>6.9548872180451124E-2</v>
      </c>
      <c r="BE5">
        <v>8.6972411297628366E-2</v>
      </c>
      <c r="BF5">
        <v>7.4528985221133853E-2</v>
      </c>
      <c r="BG5">
        <v>9.9543705757179912E-2</v>
      </c>
      <c r="BH5">
        <v>7.0237743632115171E-2</v>
      </c>
      <c r="BI5">
        <v>7.50427840267269E-2</v>
      </c>
      <c r="BJ5">
        <v>6.726106358661621E-2</v>
      </c>
      <c r="BK5">
        <v>6.4327718294276748E-2</v>
      </c>
      <c r="BL5">
        <v>6.6705687253365356E-2</v>
      </c>
      <c r="BM5">
        <v>5.9756011017213777E-2</v>
      </c>
      <c r="BN5">
        <v>6.1548080618582815E-2</v>
      </c>
      <c r="BO5">
        <v>4.5055124064620186E-2</v>
      </c>
      <c r="BP5">
        <v>3.9016881236744197E-2</v>
      </c>
      <c r="BQ5">
        <v>4.989761984366578E-2</v>
      </c>
      <c r="BR5">
        <v>6.114611528127268E-2</v>
      </c>
      <c r="BS5">
        <v>5.2082803879621949E-2</v>
      </c>
      <c r="BT5">
        <v>4.3169398907103827E-2</v>
      </c>
      <c r="BU5">
        <v>0.05</v>
      </c>
      <c r="BV5">
        <v>6.1874999999999999E-2</v>
      </c>
      <c r="BW5">
        <v>5.7558139534883722E-2</v>
      </c>
      <c r="BX5">
        <v>4.3113772455089822E-2</v>
      </c>
      <c r="BY5">
        <v>5.3072625698324022E-2</v>
      </c>
      <c r="BZ5">
        <v>5.5801104972375691E-2</v>
      </c>
      <c r="CA5">
        <v>4.3890865954922892E-2</v>
      </c>
      <c r="CB5">
        <v>3.860294117647059E-2</v>
      </c>
      <c r="CC5">
        <v>4.1244083840432724E-2</v>
      </c>
      <c r="CD5">
        <v>4.1666666666666664E-2</v>
      </c>
      <c r="CE5">
        <v>2.8005464480874317E-2</v>
      </c>
      <c r="CF5">
        <v>2.1834061135371178E-2</v>
      </c>
      <c r="CG5">
        <v>2.3305084745762712E-2</v>
      </c>
      <c r="CH5">
        <v>4.3656207366984993E-2</v>
      </c>
      <c r="CI5">
        <v>2.1711366538952746E-2</v>
      </c>
      <c r="CJ5">
        <v>2.9850746268656716E-2</v>
      </c>
      <c r="CK5">
        <v>2.2889842632331903E-2</v>
      </c>
      <c r="CL5">
        <v>3.2383419689119168E-2</v>
      </c>
      <c r="CM5">
        <v>1.8925518925518924E-2</v>
      </c>
      <c r="CN5">
        <v>2.5000000000000001E-2</v>
      </c>
      <c r="CO5">
        <v>2.6871401151631478E-2</v>
      </c>
      <c r="CP5">
        <v>2.0547945205479451E-2</v>
      </c>
      <c r="CQ5">
        <v>1.8833535844471446E-2</v>
      </c>
      <c r="CR5">
        <v>1.8202502844141068E-2</v>
      </c>
      <c r="CS5">
        <v>2.1764032073310423E-2</v>
      </c>
      <c r="CT5">
        <v>1.8900343642611683E-2</v>
      </c>
      <c r="CU5">
        <v>1.5957446808510637E-2</v>
      </c>
      <c r="CV5">
        <v>1.9127316198445904E-2</v>
      </c>
      <c r="CW5">
        <v>1.4267990074441687E-2</v>
      </c>
      <c r="CX5">
        <v>1.0759493670886076E-2</v>
      </c>
      <c r="CY5">
        <v>7.3284477015323115E-3</v>
      </c>
      <c r="CZ5">
        <v>1.7173051519154558E-2</v>
      </c>
      <c r="DA5">
        <v>1.8975332068311195E-2</v>
      </c>
      <c r="DB5">
        <v>2.1739130434782608E-2</v>
      </c>
      <c r="DC5">
        <v>2.3151605675877519E-2</v>
      </c>
      <c r="DD5">
        <v>1.260835303388495E-2</v>
      </c>
      <c r="DE5">
        <v>2.0249221183800622E-2</v>
      </c>
      <c r="DF5">
        <v>1.4210919970082274E-2</v>
      </c>
      <c r="DG5">
        <v>1.2562814070351759E-2</v>
      </c>
      <c r="DH5">
        <v>7.311129163281885E-3</v>
      </c>
      <c r="DI5">
        <v>1.2260536398467433E-2</v>
      </c>
      <c r="DJ5">
        <v>1.2412723041117145E-2</v>
      </c>
      <c r="DK5">
        <v>6.5040650406504065E-3</v>
      </c>
      <c r="DL5">
        <v>9.9693251533742328E-3</v>
      </c>
      <c r="DM5">
        <v>1.0570824524312896E-2</v>
      </c>
      <c r="DN5">
        <v>9.0840272520817562E-3</v>
      </c>
      <c r="DO5">
        <v>1.0186757215619695E-2</v>
      </c>
      <c r="DP5">
        <v>1.0300429184549357E-2</v>
      </c>
      <c r="DQ5">
        <v>7.4211502782931356E-3</v>
      </c>
      <c r="DR5">
        <v>1.9029495718363464E-3</v>
      </c>
      <c r="DS5">
        <v>9.1556459816887082E-3</v>
      </c>
    </row>
    <row r="6" spans="1:123" x14ac:dyDescent="0.35">
      <c r="A6" t="s">
        <v>6</v>
      </c>
      <c r="B6">
        <v>9.2975206611570244E-2</v>
      </c>
      <c r="C6">
        <v>9.5437860513896175E-2</v>
      </c>
      <c r="D6">
        <v>8.4611578426521519E-2</v>
      </c>
      <c r="E6">
        <v>0.10425844346549193</v>
      </c>
      <c r="F6">
        <v>9.3282636248415721E-2</v>
      </c>
      <c r="G6">
        <v>8.1493165089379607E-2</v>
      </c>
      <c r="H6">
        <v>8.4144818976279651E-2</v>
      </c>
      <c r="I6">
        <v>8.6543033761293395E-2</v>
      </c>
      <c r="J6">
        <v>8.5941148995796357E-2</v>
      </c>
      <c r="K6">
        <v>9.650507328072154E-2</v>
      </c>
      <c r="L6">
        <v>0.10636442894507411</v>
      </c>
      <c r="M6">
        <v>9.6385542168674704E-2</v>
      </c>
      <c r="N6">
        <v>9.1452991452991447E-2</v>
      </c>
      <c r="O6">
        <v>7.2488342518016113E-2</v>
      </c>
      <c r="P6">
        <v>7.5744680851063825E-2</v>
      </c>
      <c r="Q6">
        <v>0.10519423832387603</v>
      </c>
      <c r="R6">
        <v>9.6525096525096526E-2</v>
      </c>
      <c r="S6">
        <v>8.9537712895377125E-2</v>
      </c>
      <c r="T6">
        <v>9.8148148148148151E-2</v>
      </c>
      <c r="U6">
        <v>6.8469254252071524E-2</v>
      </c>
      <c r="V6">
        <v>8.6996336996336993E-2</v>
      </c>
      <c r="W6">
        <v>0.10022371364653244</v>
      </c>
      <c r="X6">
        <v>7.7722548576592859E-2</v>
      </c>
      <c r="Y6">
        <v>8.1892629663330302E-2</v>
      </c>
      <c r="Z6">
        <v>7.3126962763571113E-2</v>
      </c>
      <c r="AA6">
        <v>0.11007957559681697</v>
      </c>
      <c r="AB6">
        <v>7.8007933010136629E-2</v>
      </c>
      <c r="AC6">
        <v>8.3040421792618627E-2</v>
      </c>
      <c r="AD6">
        <v>8.8869715271786026E-2</v>
      </c>
      <c r="AE6">
        <v>8.2903780068728519E-2</v>
      </c>
      <c r="AF6">
        <v>8.9270386266094418E-2</v>
      </c>
      <c r="AG6">
        <v>8.3976006855184235E-2</v>
      </c>
      <c r="AH6">
        <v>6.8401174989509025E-2</v>
      </c>
      <c r="AI6">
        <v>6.9391230310770546E-2</v>
      </c>
      <c r="AJ6">
        <v>7.7582318448353629E-2</v>
      </c>
      <c r="AK6">
        <v>8.8169140800719747E-2</v>
      </c>
      <c r="AL6">
        <v>0.10584291187739464</v>
      </c>
      <c r="AM6">
        <v>7.3134328358208961E-2</v>
      </c>
      <c r="AN6">
        <v>9.3191694833413816E-2</v>
      </c>
      <c r="AO6">
        <v>6.2354583527221966E-2</v>
      </c>
      <c r="AP6">
        <v>9.3901258470474341E-2</v>
      </c>
      <c r="AQ6">
        <v>6.541176470588235E-2</v>
      </c>
      <c r="AR6">
        <v>7.3782587309394979E-2</v>
      </c>
      <c r="AS6">
        <v>6.07429718875502E-2</v>
      </c>
      <c r="AT6">
        <v>6.3718497384688544E-2</v>
      </c>
      <c r="AU6">
        <v>4.2727272727272725E-2</v>
      </c>
      <c r="AV6">
        <v>3.925148334094021E-2</v>
      </c>
      <c r="AW6">
        <v>4.9219687875150062E-2</v>
      </c>
      <c r="AX6">
        <v>3.7170263788968823E-2</v>
      </c>
      <c r="AY6">
        <v>3.2628846866889133E-2</v>
      </c>
      <c r="AZ6">
        <v>4.7507055503292567E-2</v>
      </c>
      <c r="BA6">
        <v>4.5965270684371805E-2</v>
      </c>
      <c r="BB6">
        <v>4.2063094641962943E-2</v>
      </c>
      <c r="BC6">
        <v>4.3837029396596186E-2</v>
      </c>
      <c r="BD6">
        <v>3.1818181818181815E-2</v>
      </c>
      <c r="BE6">
        <v>4.6280341829659156E-2</v>
      </c>
      <c r="BF6">
        <v>4.1587301790199913E-2</v>
      </c>
      <c r="BG6">
        <v>4.4416729688467688E-2</v>
      </c>
      <c r="BH6">
        <v>4.0760954549559129E-2</v>
      </c>
      <c r="BI6">
        <v>5.7433119217379258E-2</v>
      </c>
      <c r="BJ6">
        <v>4.9314920274112439E-2</v>
      </c>
      <c r="BK6">
        <v>4.5189765078248581E-2</v>
      </c>
      <c r="BL6">
        <v>5.0392209621722549E-2</v>
      </c>
      <c r="BM6">
        <v>3.4598593710077293E-2</v>
      </c>
      <c r="BN6">
        <v>4.9507864182988526E-2</v>
      </c>
      <c r="BO6">
        <v>4.7377704592737123E-2</v>
      </c>
      <c r="BP6">
        <v>3.5151569521174417E-2</v>
      </c>
      <c r="BQ6">
        <v>4.3645268968077501E-2</v>
      </c>
      <c r="BR6">
        <v>4.3949863459761353E-2</v>
      </c>
      <c r="BS6">
        <v>4.06826972221574E-2</v>
      </c>
      <c r="BT6">
        <v>3.7440758293838861E-2</v>
      </c>
      <c r="BU6">
        <v>3.2380952380952378E-2</v>
      </c>
      <c r="BV6">
        <v>2.6470588235294117E-2</v>
      </c>
      <c r="BW6">
        <v>2.8571428571428571E-2</v>
      </c>
      <c r="BX6">
        <v>3.2828282828282832E-2</v>
      </c>
      <c r="BY6">
        <v>2.8571428571428571E-2</v>
      </c>
      <c r="BZ6">
        <v>3.2828282828282832E-2</v>
      </c>
      <c r="CA6">
        <v>3.7679722359940507E-2</v>
      </c>
      <c r="CB6">
        <v>3.1316348195329087E-2</v>
      </c>
      <c r="CC6">
        <v>3.2409827496079457E-2</v>
      </c>
      <c r="CD6">
        <v>2.3796347537354733E-2</v>
      </c>
      <c r="CE6">
        <v>2.365930599369085E-2</v>
      </c>
      <c r="CF6">
        <v>1.9250780437044746E-2</v>
      </c>
      <c r="CG6">
        <v>2.4245689655172414E-2</v>
      </c>
      <c r="CH6">
        <v>2.1112255406797117E-2</v>
      </c>
      <c r="CI6">
        <v>2.3406374501992032E-2</v>
      </c>
      <c r="CJ6">
        <v>1.8564977420973405E-2</v>
      </c>
      <c r="CK6">
        <v>1.6798418972332016E-2</v>
      </c>
      <c r="CL6">
        <v>1.5562248995983935E-2</v>
      </c>
      <c r="CM6">
        <v>2.2494887525562373E-2</v>
      </c>
      <c r="CN6">
        <v>1.2118274357731459E-2</v>
      </c>
      <c r="CO6">
        <v>1.6288252714708785E-2</v>
      </c>
      <c r="CP6">
        <v>1.4616935483870967E-2</v>
      </c>
      <c r="CQ6">
        <v>1.6393442622950821E-2</v>
      </c>
      <c r="CR6">
        <v>1.3432835820895522E-2</v>
      </c>
      <c r="CS6">
        <v>1.037037037037037E-2</v>
      </c>
      <c r="CT6">
        <v>1.6790123456790124E-2</v>
      </c>
      <c r="CU6">
        <v>1.11731843575419E-2</v>
      </c>
      <c r="CV6">
        <v>1.010611419909045E-2</v>
      </c>
      <c r="CW6">
        <v>1.0917030567685589E-2</v>
      </c>
      <c r="CX6">
        <v>9.5559302979201805E-3</v>
      </c>
      <c r="CY6">
        <v>1.5294117647058824E-2</v>
      </c>
      <c r="CZ6">
        <v>1.2208657047724751E-2</v>
      </c>
      <c r="DA6">
        <v>9.1272104962920701E-3</v>
      </c>
      <c r="DB6">
        <v>1.1607661056297156E-2</v>
      </c>
      <c r="DC6">
        <v>1.2277470841006752E-2</v>
      </c>
      <c r="DD6">
        <v>1.1764705882352941E-2</v>
      </c>
      <c r="DE6">
        <v>1.0925819436457734E-2</v>
      </c>
      <c r="DF6">
        <v>6.313131313131313E-3</v>
      </c>
      <c r="DG6">
        <v>3.1407035175879399E-3</v>
      </c>
      <c r="DH6">
        <v>5.1933064050779E-3</v>
      </c>
      <c r="DI6">
        <v>1.2812690665039659E-2</v>
      </c>
      <c r="DJ6">
        <v>9.9765258215962441E-3</v>
      </c>
      <c r="DK6">
        <v>5.7273768613974796E-3</v>
      </c>
      <c r="DL6">
        <v>9.9183197199533262E-3</v>
      </c>
      <c r="DM6">
        <v>4.595060310166571E-3</v>
      </c>
      <c r="DN6">
        <v>6.0864272671941567E-3</v>
      </c>
      <c r="DO6">
        <v>8.2539682539682548E-3</v>
      </c>
      <c r="DP6">
        <v>4.1237113402061857E-3</v>
      </c>
      <c r="DQ6">
        <v>8.3270249810749441E-3</v>
      </c>
      <c r="DR6">
        <v>6.4935064935064939E-3</v>
      </c>
      <c r="DS6">
        <v>5.0718512256973797E-3</v>
      </c>
    </row>
    <row r="7" spans="1:123" x14ac:dyDescent="0.35">
      <c r="A7" t="s">
        <v>7</v>
      </c>
      <c r="B7">
        <v>0.13271162123385941</v>
      </c>
      <c r="C7">
        <v>0.10425240054869685</v>
      </c>
      <c r="D7">
        <v>0.10418143160878809</v>
      </c>
      <c r="E7">
        <v>9.5145631067961159E-2</v>
      </c>
      <c r="F7">
        <v>9.4759962347034835E-2</v>
      </c>
      <c r="G7">
        <v>9.4397076735688187E-2</v>
      </c>
      <c r="H7">
        <v>0.11417450535192994</v>
      </c>
      <c r="I7">
        <v>0.13671061762664816</v>
      </c>
      <c r="J7">
        <v>0.1</v>
      </c>
      <c r="K7">
        <v>0.10593792172739541</v>
      </c>
      <c r="L7">
        <v>0.11218836565096953</v>
      </c>
      <c r="M7">
        <v>9.9811676082862524E-2</v>
      </c>
      <c r="N7">
        <v>0.15740162398500937</v>
      </c>
      <c r="O7">
        <v>8.656174334140436E-2</v>
      </c>
      <c r="P7">
        <v>0.11154598825831702</v>
      </c>
      <c r="Q7">
        <v>0.10723514211886305</v>
      </c>
      <c r="R7">
        <v>0.14305750350631136</v>
      </c>
      <c r="S7">
        <v>0.11400247831474597</v>
      </c>
      <c r="T7">
        <v>0.12249848392965433</v>
      </c>
      <c r="U7">
        <v>9.7122302158273388E-2</v>
      </c>
      <c r="V7">
        <v>0.13508771929824562</v>
      </c>
      <c r="W7">
        <v>9.6188747731397461E-2</v>
      </c>
      <c r="X7">
        <v>0.10408921933085502</v>
      </c>
      <c r="Y7">
        <v>0.11340852130325814</v>
      </c>
      <c r="Z7">
        <v>9.1291291291291293E-2</v>
      </c>
      <c r="AA7">
        <v>0.13234421364985163</v>
      </c>
      <c r="AB7">
        <v>9.5118898623279102E-2</v>
      </c>
      <c r="AC7">
        <v>8.8511137162954279E-2</v>
      </c>
      <c r="AD7">
        <v>8.6058519793459548E-2</v>
      </c>
      <c r="AE7">
        <v>7.0391061452513962E-2</v>
      </c>
      <c r="AF7">
        <v>9.4664371772805511E-2</v>
      </c>
      <c r="AG7">
        <v>9.4295692665890565E-2</v>
      </c>
      <c r="AH7">
        <v>8.4946908182386011E-2</v>
      </c>
      <c r="AI7">
        <v>7.2151898734177211E-2</v>
      </c>
      <c r="AJ7">
        <v>0.11567164179104478</v>
      </c>
      <c r="AK7">
        <v>0.10412926391382406</v>
      </c>
      <c r="AL7">
        <v>8.1477139507620158E-2</v>
      </c>
      <c r="AM7">
        <v>8.0548926014319802E-2</v>
      </c>
      <c r="AN7">
        <v>9.0133982947624841E-2</v>
      </c>
      <c r="AO7">
        <v>7.8031212484993992E-2</v>
      </c>
      <c r="AP7">
        <v>8.3075015499070051E-2</v>
      </c>
      <c r="AQ7">
        <v>9.2452830188679239E-2</v>
      </c>
      <c r="AR7">
        <v>8.7414755114693113E-2</v>
      </c>
      <c r="AS7">
        <v>6.0398505603985055E-2</v>
      </c>
      <c r="AT7">
        <v>6.67420814479638E-2</v>
      </c>
      <c r="AU7">
        <v>5.1103368176538912E-2</v>
      </c>
      <c r="AV7">
        <v>4.8252911813643926E-2</v>
      </c>
      <c r="AW7">
        <v>7.3349633251833746E-2</v>
      </c>
      <c r="AX7">
        <v>5.368360936607653E-2</v>
      </c>
      <c r="AY7">
        <v>3.2756200280767429E-2</v>
      </c>
      <c r="AZ7">
        <v>8.8125466766243471E-2</v>
      </c>
      <c r="BA7">
        <v>7.5614366729678639E-2</v>
      </c>
      <c r="BB7">
        <v>5.6466302367941715E-2</v>
      </c>
      <c r="BC7">
        <v>6.3978965819456612E-2</v>
      </c>
      <c r="BD7">
        <v>4.9455155071248952E-2</v>
      </c>
      <c r="BE7">
        <v>9.0542327519074872E-2</v>
      </c>
      <c r="BF7">
        <v>5.8694077562623417E-2</v>
      </c>
      <c r="BG7">
        <v>8.0507402973553077E-2</v>
      </c>
      <c r="BH7">
        <v>6.9616313112627712E-2</v>
      </c>
      <c r="BI7">
        <v>9.8988165748704421E-2</v>
      </c>
      <c r="BJ7">
        <v>8.3062463372973613E-2</v>
      </c>
      <c r="BK7">
        <v>8.9788710091518092E-2</v>
      </c>
      <c r="BL7">
        <v>7.8052936379920224E-2</v>
      </c>
      <c r="BM7">
        <v>9.569285047849356E-2</v>
      </c>
      <c r="BN7">
        <v>7.0521618148840573E-2</v>
      </c>
      <c r="BO7">
        <v>8.8165895798561308E-2</v>
      </c>
      <c r="BP7">
        <v>7.0543816875506052E-2</v>
      </c>
      <c r="BQ7">
        <v>5.879576571590539E-2</v>
      </c>
      <c r="BR7">
        <v>6.8045807497370034E-2</v>
      </c>
      <c r="BS7">
        <v>6.217508901238903E-2</v>
      </c>
      <c r="BT7">
        <v>5.6302521008403363E-2</v>
      </c>
      <c r="BU7">
        <v>4.3846153846153847E-2</v>
      </c>
      <c r="BV7">
        <v>4.1984732824427481E-2</v>
      </c>
      <c r="BW7">
        <v>5.2671755725190839E-2</v>
      </c>
      <c r="BX7">
        <v>4.7482014388489209E-2</v>
      </c>
      <c r="BY7">
        <v>4.4927536231884058E-2</v>
      </c>
      <c r="BZ7">
        <v>6.0156250000000001E-2</v>
      </c>
      <c r="CA7">
        <v>5.3311793214862679E-2</v>
      </c>
      <c r="CB7">
        <v>4.4254658385093168E-2</v>
      </c>
      <c r="CC7">
        <v>3.7294015611448399E-2</v>
      </c>
      <c r="CD7">
        <v>3.7910699241786014E-2</v>
      </c>
      <c r="CE7">
        <v>3.5652173913043476E-2</v>
      </c>
      <c r="CF7">
        <v>2.3417172593235037E-2</v>
      </c>
      <c r="CG7">
        <v>2.3508137432188065E-2</v>
      </c>
      <c r="CH7">
        <v>2.5454545454545455E-2</v>
      </c>
      <c r="CI7">
        <v>2.2181146025878003E-2</v>
      </c>
      <c r="CJ7">
        <v>4.7279214986619092E-2</v>
      </c>
      <c r="CK7">
        <v>1.9193857965451054E-2</v>
      </c>
      <c r="CL7">
        <v>2.4500907441016333E-2</v>
      </c>
      <c r="CM7">
        <v>1.7890772128060263E-2</v>
      </c>
      <c r="CN7">
        <v>2.66798418972332E-2</v>
      </c>
      <c r="CO7">
        <v>1.9090909090909092E-2</v>
      </c>
      <c r="CP7">
        <v>1.9677996422182469E-2</v>
      </c>
      <c r="CQ7">
        <v>2.2149302707136997E-2</v>
      </c>
      <c r="CR7">
        <v>2.2867194371152155E-2</v>
      </c>
      <c r="CS7">
        <v>1.7361111111111112E-2</v>
      </c>
      <c r="CT7">
        <v>1.3888888888888888E-2</v>
      </c>
      <c r="CU7">
        <v>2.3316062176165803E-2</v>
      </c>
      <c r="CV7">
        <v>1.757631822386679E-2</v>
      </c>
      <c r="CW7">
        <v>1.5947467166979361E-2</v>
      </c>
      <c r="CX7">
        <v>1.3901760889712697E-2</v>
      </c>
      <c r="CY7">
        <v>9.1556459816887082E-3</v>
      </c>
      <c r="CZ7">
        <v>1.5080113100848256E-2</v>
      </c>
      <c r="DA7">
        <v>1.0111223458038422E-2</v>
      </c>
      <c r="DB7">
        <v>1.3429752066115703E-2</v>
      </c>
      <c r="DC7">
        <v>1.0714285714285714E-2</v>
      </c>
      <c r="DD7">
        <v>1.1862396204033216E-3</v>
      </c>
      <c r="DE7">
        <v>9.0805902383654935E-3</v>
      </c>
      <c r="DF7">
        <v>9.696969696969697E-3</v>
      </c>
      <c r="DG7">
        <v>1.5555555555555555E-2</v>
      </c>
      <c r="DH7">
        <v>5.0314465408805029E-3</v>
      </c>
      <c r="DI7">
        <v>7.6238881829733167E-3</v>
      </c>
      <c r="DJ7">
        <v>9.0497737556561094E-3</v>
      </c>
      <c r="DK7">
        <v>3.5971223021582736E-3</v>
      </c>
      <c r="DL7">
        <v>7.98175598631699E-3</v>
      </c>
      <c r="DM7">
        <v>5.6306306306306304E-3</v>
      </c>
      <c r="DN7">
        <v>1.2850467289719626E-2</v>
      </c>
      <c r="DO7">
        <v>8.0213903743315516E-3</v>
      </c>
      <c r="DP7">
        <v>6.4724919093851136E-3</v>
      </c>
      <c r="DQ7">
        <v>9.8846787479406912E-3</v>
      </c>
      <c r="DR7">
        <v>6.6115702479338841E-3</v>
      </c>
      <c r="DS7">
        <v>3.246753246753247E-3</v>
      </c>
    </row>
    <row r="8" spans="1:123" x14ac:dyDescent="0.35">
      <c r="A8" t="s">
        <v>8</v>
      </c>
      <c r="B8">
        <v>9.3385214007782102E-2</v>
      </c>
      <c r="C8">
        <v>0.16111111111111112</v>
      </c>
      <c r="D8">
        <v>0.12248628884826325</v>
      </c>
      <c r="E8">
        <v>0.11320754716981132</v>
      </c>
      <c r="F8">
        <v>0.11864406779661017</v>
      </c>
      <c r="G8">
        <v>0.12406015037593984</v>
      </c>
      <c r="H8">
        <v>0.11091854419410745</v>
      </c>
      <c r="I8">
        <v>9.9678456591639875E-2</v>
      </c>
      <c r="J8">
        <v>0.11724137931034483</v>
      </c>
      <c r="K8">
        <v>0.12414383561643835</v>
      </c>
      <c r="L8">
        <v>0.13095238095238096</v>
      </c>
      <c r="M8">
        <v>0.125</v>
      </c>
      <c r="N8">
        <v>0.14009661835748793</v>
      </c>
      <c r="O8">
        <v>0.12434325744308231</v>
      </c>
      <c r="P8">
        <v>0.10989010989010989</v>
      </c>
      <c r="Q8">
        <v>9.0163934426229511E-2</v>
      </c>
      <c r="R8">
        <v>0.14691151919866444</v>
      </c>
      <c r="S8">
        <v>8.4175084175084181E-2</v>
      </c>
      <c r="T8">
        <v>8.6821705426356588E-2</v>
      </c>
      <c r="U8">
        <v>0.12328767123287671</v>
      </c>
      <c r="V8">
        <v>0.14959349593495935</v>
      </c>
      <c r="W8">
        <v>0.10802469135802469</v>
      </c>
      <c r="X8">
        <v>8.5271317829457363E-2</v>
      </c>
      <c r="Y8">
        <v>0.13076923076923078</v>
      </c>
      <c r="Z8">
        <v>0.1130030959752322</v>
      </c>
      <c r="AA8">
        <v>0.1104199066874028</v>
      </c>
      <c r="AB8">
        <v>8.7423312883435578E-2</v>
      </c>
      <c r="AC8">
        <v>0.10983606557377049</v>
      </c>
      <c r="AD8">
        <v>7.4850299401197598E-2</v>
      </c>
      <c r="AE8">
        <v>8.8012139605462822E-2</v>
      </c>
      <c r="AF8">
        <v>6.6305818673883632E-2</v>
      </c>
      <c r="AG8">
        <v>0.10128388017118402</v>
      </c>
      <c r="AH8">
        <v>7.334273624823695E-2</v>
      </c>
      <c r="AI8">
        <v>9.9688473520249218E-2</v>
      </c>
      <c r="AJ8">
        <v>0.12462006079027356</v>
      </c>
      <c r="AK8">
        <v>8.5168869309838469E-2</v>
      </c>
      <c r="AL8">
        <v>9.9673202614379092E-2</v>
      </c>
      <c r="AM8">
        <v>0.1130690161527166</v>
      </c>
      <c r="AN8">
        <v>0.11451612903225807</v>
      </c>
      <c r="AO8">
        <v>8.2170542635658914E-2</v>
      </c>
      <c r="AP8">
        <v>0.10866141732283464</v>
      </c>
      <c r="AQ8">
        <v>6.5868263473053898E-2</v>
      </c>
      <c r="AR8">
        <v>0.11784511784511785</v>
      </c>
      <c r="AS8">
        <v>0.13398692810457516</v>
      </c>
      <c r="AT8">
        <v>6.2700964630225078E-2</v>
      </c>
      <c r="AU8">
        <v>5.0793650793650794E-2</v>
      </c>
      <c r="AV8">
        <v>6.097560975609756E-2</v>
      </c>
      <c r="AW8">
        <v>9.2369477911646583E-2</v>
      </c>
      <c r="AX8">
        <v>9.6774193548387094E-2</v>
      </c>
      <c r="AY8">
        <v>5.5555555555555552E-2</v>
      </c>
      <c r="AZ8">
        <v>5.1039697542533083E-2</v>
      </c>
      <c r="BA8">
        <v>9.8639455782312924E-2</v>
      </c>
      <c r="BB8">
        <v>7.3954983922829579E-2</v>
      </c>
      <c r="BC8">
        <v>6.3253012048192767E-2</v>
      </c>
      <c r="BD8">
        <v>9.6885813148788927E-2</v>
      </c>
      <c r="BE8">
        <v>6.7044119383469117E-2</v>
      </c>
      <c r="BF8">
        <v>9.4179684409666564E-2</v>
      </c>
      <c r="BG8">
        <v>7.5509051067396776E-2</v>
      </c>
      <c r="BH8">
        <v>6.4008198367367597E-2</v>
      </c>
      <c r="BI8">
        <v>8.5633332303526585E-2</v>
      </c>
      <c r="BJ8">
        <v>8.0099797030824552E-2</v>
      </c>
      <c r="BK8">
        <v>2.771417290206938E-2</v>
      </c>
      <c r="BL8">
        <v>8.8602178419953284E-2</v>
      </c>
      <c r="BM8">
        <v>7.0230015122031128E-2</v>
      </c>
      <c r="BN8">
        <v>7.8117660690842139E-2</v>
      </c>
      <c r="BO8">
        <v>5.6149243510695446E-2</v>
      </c>
      <c r="BP8">
        <v>4.9666539990686133E-2</v>
      </c>
      <c r="BQ8">
        <v>6.6446352684051205E-2</v>
      </c>
      <c r="BR8">
        <v>3.7735543401998008E-2</v>
      </c>
      <c r="BS8">
        <v>4.0858632371024703E-2</v>
      </c>
      <c r="BT8">
        <v>4.3749999999999997E-2</v>
      </c>
      <c r="BU8">
        <v>2.8260869565217391E-2</v>
      </c>
      <c r="BV8">
        <v>2.7659574468085105E-2</v>
      </c>
      <c r="BW8">
        <v>4.4230769230769233E-2</v>
      </c>
      <c r="BX8">
        <v>4.8214285714285716E-2</v>
      </c>
      <c r="BY8">
        <v>4.2857142857142858E-2</v>
      </c>
      <c r="BZ8">
        <v>3.0508474576271188E-2</v>
      </c>
      <c r="CA8">
        <v>4.1036717062634988E-2</v>
      </c>
      <c r="CB8">
        <v>3.9639639639639637E-2</v>
      </c>
      <c r="CC8">
        <v>2.1999999999999999E-2</v>
      </c>
      <c r="CD8">
        <v>4.9250535331905779E-2</v>
      </c>
      <c r="CE8">
        <v>3.4313725490196081E-2</v>
      </c>
      <c r="CF8">
        <v>2.0689655172413793E-2</v>
      </c>
      <c r="CG8">
        <v>1.1682242990654205E-2</v>
      </c>
      <c r="CH8">
        <v>2.6970954356846474E-2</v>
      </c>
      <c r="CI8">
        <v>2.6315789473684209E-2</v>
      </c>
      <c r="CJ8">
        <v>1.4634146341463415E-2</v>
      </c>
      <c r="CK8">
        <v>1.7374517374517374E-2</v>
      </c>
      <c r="CL8">
        <v>1.4084507042253521E-2</v>
      </c>
      <c r="CM8">
        <v>1.5909090909090907E-2</v>
      </c>
      <c r="CN8">
        <v>1.5765765765765764E-2</v>
      </c>
      <c r="CO8">
        <v>1.1312217194570135E-2</v>
      </c>
      <c r="CP8">
        <v>2.0920502092050207E-3</v>
      </c>
      <c r="CQ8">
        <v>1.7429193899782137E-2</v>
      </c>
      <c r="CR8">
        <v>1.932367149758454E-2</v>
      </c>
      <c r="CS8">
        <v>9.5465393794749408E-3</v>
      </c>
      <c r="CT8">
        <v>1.9093078758949882E-2</v>
      </c>
      <c r="CU8">
        <v>1.1933174224343675E-2</v>
      </c>
      <c r="CV8">
        <v>7.5949367088607592E-3</v>
      </c>
      <c r="CW8">
        <v>1.2658227848101266E-2</v>
      </c>
      <c r="CX8">
        <v>1.8134715025906734E-2</v>
      </c>
      <c r="CY8">
        <v>7.8947368421052634E-3</v>
      </c>
      <c r="CZ8">
        <v>1.2626262626262626E-2</v>
      </c>
      <c r="DA8">
        <v>1.1764705882352941E-2</v>
      </c>
      <c r="DB8">
        <v>1.6908212560386472E-2</v>
      </c>
      <c r="DC8">
        <v>1.2500000000000001E-2</v>
      </c>
      <c r="DD8">
        <v>1.8633540372670808E-2</v>
      </c>
      <c r="DE8">
        <v>6.2305295950155761E-3</v>
      </c>
      <c r="DF8">
        <v>6.3091482649842269E-3</v>
      </c>
      <c r="DG8">
        <v>8.7976539589442824E-3</v>
      </c>
      <c r="DH8">
        <v>5.9347181008902079E-3</v>
      </c>
      <c r="DI8">
        <v>1.2307692307692308E-2</v>
      </c>
      <c r="DJ8">
        <v>3.0120481927710845E-3</v>
      </c>
      <c r="DK8">
        <v>5.3191489361702126E-3</v>
      </c>
      <c r="DL8">
        <v>3.2573289902280132E-3</v>
      </c>
      <c r="DM8">
        <v>8.5714285714285719E-3</v>
      </c>
      <c r="DN8">
        <v>1.1661807580174927E-2</v>
      </c>
      <c r="DO8">
        <v>0</v>
      </c>
      <c r="DP8">
        <v>1.7543859649122806E-2</v>
      </c>
      <c r="DQ8">
        <v>3.9215686274509803E-3</v>
      </c>
      <c r="DR8">
        <v>3.8022813688212928E-3</v>
      </c>
      <c r="DS8">
        <v>9.0497737556561094E-3</v>
      </c>
    </row>
    <row r="9" spans="1:123" x14ac:dyDescent="0.35">
      <c r="A9" t="s">
        <v>9</v>
      </c>
      <c r="B9">
        <v>7.8042328042328038E-2</v>
      </c>
      <c r="C9">
        <v>7.2649572649572655E-2</v>
      </c>
      <c r="D9">
        <v>7.9295154185022032E-2</v>
      </c>
      <c r="E9">
        <v>9.504373177842565E-2</v>
      </c>
      <c r="F9">
        <v>7.6923076923076927E-2</v>
      </c>
      <c r="G9">
        <v>5.9483726150392817E-2</v>
      </c>
      <c r="H9">
        <v>8.6100168823860443E-2</v>
      </c>
      <c r="I9">
        <v>0.11286681715575621</v>
      </c>
      <c r="J9">
        <v>0.10222729868646488</v>
      </c>
      <c r="K9">
        <v>9.6468561584840656E-2</v>
      </c>
      <c r="L9">
        <v>9.0646651270207851E-2</v>
      </c>
      <c r="M9">
        <v>8.6225026288117776E-2</v>
      </c>
      <c r="N9">
        <v>0.10438074634937804</v>
      </c>
      <c r="O9">
        <v>5.7654075546719682E-2</v>
      </c>
      <c r="P9">
        <v>6.9394096323148621E-2</v>
      </c>
      <c r="Q9">
        <v>7.650273224043716E-2</v>
      </c>
      <c r="R9">
        <v>0.11865312667022983</v>
      </c>
      <c r="S9">
        <v>7.9005524861878451E-2</v>
      </c>
      <c r="T9">
        <v>9.1803278688524587E-2</v>
      </c>
      <c r="U9">
        <v>7.9748163693599161E-2</v>
      </c>
      <c r="V9">
        <v>0.10358342665173573</v>
      </c>
      <c r="W9">
        <v>0.10312671420735052</v>
      </c>
      <c r="X9">
        <v>8.3822744260544577E-2</v>
      </c>
      <c r="Y9">
        <v>7.9956780118854667E-2</v>
      </c>
      <c r="Z9">
        <v>8.0064481461579795E-2</v>
      </c>
      <c r="AA9">
        <v>0.11704422869471413</v>
      </c>
      <c r="AB9">
        <v>7.5562700964630219E-2</v>
      </c>
      <c r="AC9">
        <v>8.4801762114537452E-2</v>
      </c>
      <c r="AD9">
        <v>8.3111347895578044E-2</v>
      </c>
      <c r="AE9">
        <v>8.2515868436237733E-2</v>
      </c>
      <c r="AF9">
        <v>8.5928489042675887E-2</v>
      </c>
      <c r="AG9">
        <v>8.3621683967704724E-2</v>
      </c>
      <c r="AH9">
        <v>7.5504322766570611E-2</v>
      </c>
      <c r="AI9">
        <v>8.7033747779751328E-2</v>
      </c>
      <c r="AJ9">
        <v>6.8707058088694567E-2</v>
      </c>
      <c r="AK9">
        <v>7.5552825552825553E-2</v>
      </c>
      <c r="AL9">
        <v>8.2392026578073096E-2</v>
      </c>
      <c r="AM9">
        <v>7.2526121696373694E-2</v>
      </c>
      <c r="AN9">
        <v>6.9100391134289438E-2</v>
      </c>
      <c r="AO9">
        <v>6.3063063063063057E-2</v>
      </c>
      <c r="AP9">
        <v>6.6401062416998669E-2</v>
      </c>
      <c r="AQ9">
        <v>7.039473684210526E-2</v>
      </c>
      <c r="AR9">
        <v>6.8597560975609762E-2</v>
      </c>
      <c r="AS9">
        <v>7.0391872278664738E-2</v>
      </c>
      <c r="AT9">
        <v>6.1700526711813392E-2</v>
      </c>
      <c r="AU9">
        <v>4.8399687743950037E-2</v>
      </c>
      <c r="AV9">
        <v>3.1956352299298517E-2</v>
      </c>
      <c r="AW9">
        <v>4.0803515379786569E-2</v>
      </c>
      <c r="AX9">
        <v>4.3161434977578475E-2</v>
      </c>
      <c r="AY9">
        <v>2.578167855183763E-2</v>
      </c>
      <c r="AZ9">
        <v>5.9674502712477394E-2</v>
      </c>
      <c r="BA9">
        <v>4.6114432109308282E-2</v>
      </c>
      <c r="BB9">
        <v>4.5256744995648392E-2</v>
      </c>
      <c r="BC9">
        <v>4.2461005199306762E-2</v>
      </c>
      <c r="BD9">
        <v>4.4498381877022652E-2</v>
      </c>
      <c r="BE9">
        <v>4.9713630018033937E-2</v>
      </c>
      <c r="BF9">
        <v>6.2391200865080411E-2</v>
      </c>
      <c r="BG9">
        <v>7.0289878038018352E-2</v>
      </c>
      <c r="BH9">
        <v>5.83090567027124E-2</v>
      </c>
      <c r="BI9">
        <v>5.2022806398576808E-2</v>
      </c>
      <c r="BJ9">
        <v>5.6629274995749941E-2</v>
      </c>
      <c r="BK9">
        <v>4.5975246907195066E-2</v>
      </c>
      <c r="BL9">
        <v>3.6020000328345597E-2</v>
      </c>
      <c r="BM9">
        <v>4.7513959497096504E-2</v>
      </c>
      <c r="BN9">
        <v>4.0029528708312369E-2</v>
      </c>
      <c r="BO9">
        <v>6.3989632646171801E-2</v>
      </c>
      <c r="BP9">
        <v>4.2383040172888922E-2</v>
      </c>
      <c r="BQ9">
        <v>5.4255630538507578E-2</v>
      </c>
      <c r="BR9">
        <v>5.7340181808009885E-2</v>
      </c>
      <c r="BS9">
        <v>4.5575829459345539E-2</v>
      </c>
      <c r="BT9">
        <v>3.3636363636363638E-2</v>
      </c>
      <c r="BU9">
        <v>4.2857142857142858E-2</v>
      </c>
      <c r="BV9">
        <v>3.5238095238095235E-2</v>
      </c>
      <c r="BW9">
        <v>3.884297520661157E-2</v>
      </c>
      <c r="BX9">
        <v>3.5937499999999997E-2</v>
      </c>
      <c r="BY9">
        <v>2.2222222222222223E-2</v>
      </c>
      <c r="BZ9">
        <v>4.4776119402985072E-2</v>
      </c>
      <c r="CA9">
        <v>3.0493273542600896E-2</v>
      </c>
      <c r="CB9">
        <v>4.0457343887423045E-2</v>
      </c>
      <c r="CC9">
        <v>4.218600191754554E-2</v>
      </c>
      <c r="CD9">
        <v>3.7900874635568516E-2</v>
      </c>
      <c r="CE9">
        <v>3.1976744186046513E-2</v>
      </c>
      <c r="CF9">
        <v>3.1115879828326181E-2</v>
      </c>
      <c r="CG9">
        <v>2.5193798449612403E-2</v>
      </c>
      <c r="CH9">
        <v>2.5466893039049237E-2</v>
      </c>
      <c r="CI9">
        <v>3.1695721077654518E-2</v>
      </c>
      <c r="CJ9">
        <v>2.5598678777869529E-2</v>
      </c>
      <c r="CK9">
        <v>2.3333333333333334E-2</v>
      </c>
      <c r="CL9">
        <v>2.5595763459841131E-2</v>
      </c>
      <c r="CM9">
        <v>1.981132075471698E-2</v>
      </c>
      <c r="CN9">
        <v>1.1818181818181818E-2</v>
      </c>
      <c r="CO9">
        <v>1.3526570048309179E-2</v>
      </c>
      <c r="CP9">
        <v>1.7383348581884721E-2</v>
      </c>
      <c r="CQ9">
        <v>1.7241379310344827E-2</v>
      </c>
      <c r="CR9">
        <v>1.5715467328370553E-2</v>
      </c>
      <c r="CS9">
        <v>9.8199672667757774E-3</v>
      </c>
      <c r="CT9">
        <v>2.1276595744680851E-2</v>
      </c>
      <c r="CU9">
        <v>1.466544454628781E-2</v>
      </c>
      <c r="CV9">
        <v>9.8328416912487702E-3</v>
      </c>
      <c r="CW9">
        <v>7.7369439071566732E-3</v>
      </c>
      <c r="CX9">
        <v>1.5779092702169626E-2</v>
      </c>
      <c r="CY9">
        <v>1.452081316553727E-2</v>
      </c>
      <c r="CZ9">
        <v>1.1201629327902239E-2</v>
      </c>
      <c r="DA9">
        <v>8.8669950738916262E-3</v>
      </c>
      <c r="DB9">
        <v>9.99000999000999E-3</v>
      </c>
      <c r="DC9">
        <v>5.2966101694915252E-3</v>
      </c>
      <c r="DD9">
        <v>1.4823261117445839E-2</v>
      </c>
      <c r="DE9">
        <v>1.2775842044134728E-2</v>
      </c>
      <c r="DF9">
        <v>9.5238095238095247E-3</v>
      </c>
      <c r="DG9">
        <v>7.743362831858407E-3</v>
      </c>
      <c r="DH9">
        <v>7.8475336322869956E-3</v>
      </c>
      <c r="DI9">
        <v>1.1520737327188941E-2</v>
      </c>
      <c r="DJ9">
        <v>4.5662100456621002E-3</v>
      </c>
      <c r="DK9">
        <v>3.4522439585730723E-3</v>
      </c>
      <c r="DL9">
        <v>8.1018518518518514E-3</v>
      </c>
      <c r="DM9">
        <v>1.0791366906474821E-2</v>
      </c>
      <c r="DN9">
        <v>2.4390243902439024E-3</v>
      </c>
      <c r="DO9">
        <v>1.3947001394700139E-2</v>
      </c>
      <c r="DP9">
        <v>4.076086956521739E-3</v>
      </c>
      <c r="DQ9">
        <v>4.3731778425655978E-3</v>
      </c>
      <c r="DR9">
        <v>2.967359050445104E-3</v>
      </c>
      <c r="DS9">
        <v>1.098901098901099E-2</v>
      </c>
    </row>
    <row r="10" spans="1:123" x14ac:dyDescent="0.35">
      <c r="A10" t="s">
        <v>10</v>
      </c>
      <c r="B10">
        <v>9.947643979057591E-2</v>
      </c>
      <c r="C10">
        <v>8.3544303797468356E-2</v>
      </c>
      <c r="D10">
        <v>9.2377260981912152E-2</v>
      </c>
      <c r="E10">
        <v>9.0095465393794746E-2</v>
      </c>
      <c r="F10">
        <v>0.08</v>
      </c>
      <c r="G10">
        <v>7.0041200706297824E-2</v>
      </c>
      <c r="H10">
        <v>9.5016030311862426E-2</v>
      </c>
      <c r="I10">
        <v>0.1195150115473441</v>
      </c>
      <c r="J10">
        <v>9.7600872410032721E-2</v>
      </c>
      <c r="K10">
        <v>9.6153846153846159E-2</v>
      </c>
      <c r="L10">
        <v>9.4684385382059796E-2</v>
      </c>
      <c r="M10">
        <v>8.7113402061855666E-2</v>
      </c>
      <c r="N10">
        <v>8.4803921568627455E-2</v>
      </c>
      <c r="O10">
        <v>6.2561094819159335E-2</v>
      </c>
      <c r="P10">
        <v>6.9532908704883226E-2</v>
      </c>
      <c r="Q10">
        <v>8.5198555956678704E-2</v>
      </c>
      <c r="R10">
        <v>9.7322348094747685E-2</v>
      </c>
      <c r="S10">
        <v>8.4356647090229581E-2</v>
      </c>
      <c r="T10">
        <v>8.6026852312282451E-2</v>
      </c>
      <c r="U10">
        <v>9.0398365679264556E-2</v>
      </c>
      <c r="V10">
        <v>0.10181451612903226</v>
      </c>
      <c r="W10">
        <v>0.1015744032503809</v>
      </c>
      <c r="X10">
        <v>6.2045564711585073E-2</v>
      </c>
      <c r="Y10">
        <v>8.4812623274161739E-2</v>
      </c>
      <c r="Z10">
        <v>7.9650315687226803E-2</v>
      </c>
      <c r="AA10">
        <v>0.11060142711518858</v>
      </c>
      <c r="AB10">
        <v>6.1143984220907298E-2</v>
      </c>
      <c r="AC10">
        <v>9.4349142280524725E-2</v>
      </c>
      <c r="AD10">
        <v>0.1007125890736342</v>
      </c>
      <c r="AE10">
        <v>7.7685088633993746E-2</v>
      </c>
      <c r="AF10">
        <v>7.5711382113821141E-2</v>
      </c>
      <c r="AG10">
        <v>8.2694414019715223E-2</v>
      </c>
      <c r="AH10">
        <v>9.1533180778032033E-2</v>
      </c>
      <c r="AI10">
        <v>7.9225352112676062E-2</v>
      </c>
      <c r="AJ10">
        <v>9.6984033116499113E-2</v>
      </c>
      <c r="AK10">
        <v>8.4900284900284895E-2</v>
      </c>
      <c r="AL10">
        <v>8.3384805435453985E-2</v>
      </c>
      <c r="AM10">
        <v>9.2457420924574207E-2</v>
      </c>
      <c r="AN10">
        <v>7.477820025348543E-2</v>
      </c>
      <c r="AO10">
        <v>6.6157760814249358E-2</v>
      </c>
      <c r="AP10">
        <v>7.5218267293485561E-2</v>
      </c>
      <c r="AQ10">
        <v>7.2590738423028781E-2</v>
      </c>
      <c r="AR10">
        <v>7.6923076923076927E-2</v>
      </c>
      <c r="AS10">
        <v>8.3953960731211918E-2</v>
      </c>
      <c r="AT10">
        <v>4.5484949832775921E-2</v>
      </c>
      <c r="AU10">
        <v>3.9227166276346606E-2</v>
      </c>
      <c r="AV10">
        <v>3.7662337662337661E-2</v>
      </c>
      <c r="AW10">
        <v>4.3506078055022393E-2</v>
      </c>
      <c r="AX10">
        <v>4.5207956600361664E-2</v>
      </c>
      <c r="AY10">
        <v>2.7475130270014213E-2</v>
      </c>
      <c r="AZ10">
        <v>5.0969131371141424E-2</v>
      </c>
      <c r="BA10">
        <v>5.0522648083623695E-2</v>
      </c>
      <c r="BB10">
        <v>5.2951388888888888E-2</v>
      </c>
      <c r="BC10">
        <v>4.4982698961937718E-2</v>
      </c>
      <c r="BD10">
        <v>4.8060708263069137E-2</v>
      </c>
      <c r="BE10">
        <v>5.9698730709533562E-2</v>
      </c>
      <c r="BF10">
        <v>4.0247547706109187E-2</v>
      </c>
      <c r="BG10">
        <v>5.2678108643929307E-2</v>
      </c>
      <c r="BH10">
        <v>3.6688819526135959E-2</v>
      </c>
      <c r="BI10">
        <v>5.7374853604464794E-2</v>
      </c>
      <c r="BJ10">
        <v>4.2289652209479403E-2</v>
      </c>
      <c r="BK10">
        <v>4.1345226885356266E-2</v>
      </c>
      <c r="BL10">
        <v>4.7827183506142526E-2</v>
      </c>
      <c r="BM10">
        <v>5.9206685217153159E-2</v>
      </c>
      <c r="BN10">
        <v>6.6422421966260539E-2</v>
      </c>
      <c r="BO10">
        <v>6.0513579886776699E-2</v>
      </c>
      <c r="BP10">
        <v>5.0559672642750596E-2</v>
      </c>
      <c r="BQ10">
        <v>4.7166320220968942E-2</v>
      </c>
      <c r="BR10">
        <v>4.9468105048215971E-2</v>
      </c>
      <c r="BS10">
        <v>4.6095839923414206E-2</v>
      </c>
      <c r="BT10">
        <v>4.2741935483870966E-2</v>
      </c>
      <c r="BU10">
        <v>4.3200000000000002E-2</v>
      </c>
      <c r="BV10">
        <v>3.6134453781512609E-2</v>
      </c>
      <c r="BW10">
        <v>3.0578512396694214E-2</v>
      </c>
      <c r="BX10">
        <v>4.5192307692307691E-2</v>
      </c>
      <c r="BY10">
        <v>3.9830508474576268E-2</v>
      </c>
      <c r="BZ10">
        <v>3.7704918032786888E-2</v>
      </c>
      <c r="CA10">
        <v>3.87736699729486E-2</v>
      </c>
      <c r="CB10">
        <v>3.7137681159420288E-2</v>
      </c>
      <c r="CC10">
        <v>2.2637795275590553E-2</v>
      </c>
      <c r="CD10">
        <v>2.3307436182019976E-2</v>
      </c>
      <c r="CE10">
        <v>3.9112050739957716E-2</v>
      </c>
      <c r="CF10">
        <v>3.4334763948497854E-2</v>
      </c>
      <c r="CG10">
        <v>2.4390243902439025E-2</v>
      </c>
      <c r="CH10">
        <v>2.88659793814433E-2</v>
      </c>
      <c r="CI10">
        <v>3.3081285444234401E-2</v>
      </c>
      <c r="CJ10">
        <v>3.6644165863066541E-2</v>
      </c>
      <c r="CK10">
        <v>2.3809523809523808E-2</v>
      </c>
      <c r="CL10">
        <v>1.8339768339768341E-2</v>
      </c>
      <c r="CM10">
        <v>1.6314779270633396E-2</v>
      </c>
      <c r="CN10">
        <v>2.0054694621695533E-2</v>
      </c>
      <c r="CO10">
        <v>1.4177693761814745E-2</v>
      </c>
      <c r="CP10">
        <v>1.6146393972012917E-2</v>
      </c>
      <c r="CQ10">
        <v>1.2727272727272728E-2</v>
      </c>
      <c r="CR10">
        <v>2.1428571428571429E-2</v>
      </c>
      <c r="CS10">
        <v>2.3517382413087935E-2</v>
      </c>
      <c r="CT10">
        <v>1.7382413087934562E-2</v>
      </c>
      <c r="CU10">
        <v>1.3901760889712697E-2</v>
      </c>
      <c r="CV10">
        <v>1.4760147601476014E-2</v>
      </c>
      <c r="CW10">
        <v>8.1383519837232958E-3</v>
      </c>
      <c r="CX10">
        <v>8.658008658008658E-3</v>
      </c>
      <c r="CY10">
        <v>1.2035010940919038E-2</v>
      </c>
      <c r="CZ10">
        <v>1.5945330296127564E-2</v>
      </c>
      <c r="DA10">
        <v>2.1028037383177569E-2</v>
      </c>
      <c r="DB10">
        <v>1.0123734533183352E-2</v>
      </c>
      <c r="DC10">
        <v>1.3613861386138614E-2</v>
      </c>
      <c r="DD10">
        <v>1.1124845488257108E-2</v>
      </c>
      <c r="DE10">
        <v>8.7939698492462311E-3</v>
      </c>
      <c r="DF10">
        <v>6.5616797900262466E-3</v>
      </c>
      <c r="DG10">
        <v>1.1004126547455296E-2</v>
      </c>
      <c r="DH10">
        <v>5.8139534883720929E-3</v>
      </c>
      <c r="DI10">
        <v>5.5172413793103444E-3</v>
      </c>
      <c r="DJ10">
        <v>1.8018018018018018E-2</v>
      </c>
      <c r="DK10">
        <v>1.4945652173913044E-2</v>
      </c>
      <c r="DL10">
        <v>8.1855388813096858E-3</v>
      </c>
      <c r="DM10">
        <v>6.3451776649746192E-3</v>
      </c>
      <c r="DN10">
        <v>1.6736401673640166E-2</v>
      </c>
      <c r="DO10">
        <v>3.0534351145038168E-3</v>
      </c>
      <c r="DP10">
        <v>8.1433224755700327E-3</v>
      </c>
      <c r="DQ10">
        <v>1.7482517482517483E-3</v>
      </c>
      <c r="DR10">
        <v>3.9447731755424065E-3</v>
      </c>
      <c r="DS10">
        <v>1.348747591522158E-2</v>
      </c>
    </row>
    <row r="11" spans="1:123" x14ac:dyDescent="0.35">
      <c r="A11" t="s">
        <v>11</v>
      </c>
      <c r="B11">
        <v>0.10484780157835401</v>
      </c>
      <c r="C11">
        <v>7.9347826086956522E-2</v>
      </c>
      <c r="D11">
        <v>5.0632911392405063E-2</v>
      </c>
      <c r="E11">
        <v>0.10075839653304441</v>
      </c>
      <c r="F11">
        <v>9.1538052155401811E-2</v>
      </c>
      <c r="G11">
        <v>8.263598326359832E-2</v>
      </c>
      <c r="H11">
        <v>8.8922764227642281E-2</v>
      </c>
      <c r="I11">
        <v>9.4861660079051377E-2</v>
      </c>
      <c r="J11">
        <v>9.6172718351324835E-2</v>
      </c>
      <c r="K11">
        <v>8.7643678160919544E-2</v>
      </c>
      <c r="L11">
        <v>7.9513564078578111E-2</v>
      </c>
      <c r="M11">
        <v>9.8991750687442717E-2</v>
      </c>
      <c r="N11">
        <v>0.10714285714285714</v>
      </c>
      <c r="O11">
        <v>7.1047957371225573E-2</v>
      </c>
      <c r="P11">
        <v>8.5106382978723402E-2</v>
      </c>
      <c r="Q11">
        <v>7.1818181818181823E-2</v>
      </c>
      <c r="R11">
        <v>0.10607521697203472</v>
      </c>
      <c r="S11">
        <v>9.0410958904109592E-2</v>
      </c>
      <c r="T11">
        <v>7.4823943661971828E-2</v>
      </c>
      <c r="U11">
        <v>9.4138543516873896E-2</v>
      </c>
      <c r="V11">
        <v>0.10820559062218214</v>
      </c>
      <c r="W11">
        <v>8.1996434937611412E-2</v>
      </c>
      <c r="X11">
        <v>6.6151202749140894E-2</v>
      </c>
      <c r="Y11">
        <v>7.9734219269102985E-2</v>
      </c>
      <c r="Z11">
        <v>9.8984771573604066E-2</v>
      </c>
      <c r="AA11">
        <v>0.11320754716981132</v>
      </c>
      <c r="AB11">
        <v>8.1166272655634364E-2</v>
      </c>
      <c r="AC11">
        <v>0.11263073209975864</v>
      </c>
      <c r="AD11">
        <v>9.8234842670759784E-2</v>
      </c>
      <c r="AE11">
        <v>8.1679389312977094E-2</v>
      </c>
      <c r="AF11">
        <v>7.6014760147601473E-2</v>
      </c>
      <c r="AG11">
        <v>0.1111111111111111</v>
      </c>
      <c r="AH11">
        <v>8.2980524978831502E-2</v>
      </c>
      <c r="AI11">
        <v>9.1584158415841582E-2</v>
      </c>
      <c r="AJ11">
        <v>8.1952920662598086E-2</v>
      </c>
      <c r="AK11">
        <v>7.0205479452054798E-2</v>
      </c>
      <c r="AL11">
        <v>9.0990990990990991E-2</v>
      </c>
      <c r="AM11">
        <v>6.6911090742438131E-2</v>
      </c>
      <c r="AN11">
        <v>7.6997112608277185E-2</v>
      </c>
      <c r="AO11">
        <v>8.2604470359572399E-2</v>
      </c>
      <c r="AP11">
        <v>7.4038461538461539E-2</v>
      </c>
      <c r="AQ11">
        <v>8.0428954423592491E-2</v>
      </c>
      <c r="AR11">
        <v>8.9866156787762913E-2</v>
      </c>
      <c r="AS11">
        <v>5.6530214424951264E-2</v>
      </c>
      <c r="AT11">
        <v>4.4204322200392929E-2</v>
      </c>
      <c r="AU11">
        <v>4.5666356011183594E-2</v>
      </c>
      <c r="AV11">
        <v>5.2427184466019419E-2</v>
      </c>
      <c r="AW11">
        <v>4.0094339622641507E-2</v>
      </c>
      <c r="AX11">
        <v>4.1728763040238454E-2</v>
      </c>
      <c r="AY11">
        <v>3.415409054805401E-2</v>
      </c>
      <c r="AZ11">
        <v>4.8096192384769539E-2</v>
      </c>
      <c r="BA11">
        <v>4.4032444959443799E-2</v>
      </c>
      <c r="BB11">
        <v>4.8635824436536183E-2</v>
      </c>
      <c r="BC11">
        <v>4.9539170506912443E-2</v>
      </c>
      <c r="BD11">
        <v>4.6893317702227433E-2</v>
      </c>
      <c r="BE11">
        <v>3.6703812356767999E-2</v>
      </c>
      <c r="BF11">
        <v>4.1521511101795978E-2</v>
      </c>
      <c r="BG11">
        <v>6.2583019182547717E-2</v>
      </c>
      <c r="BH11">
        <v>4.726553309343675E-2</v>
      </c>
      <c r="BI11">
        <v>7.0416902199810033E-2</v>
      </c>
      <c r="BJ11">
        <v>4.1131290235428442E-2</v>
      </c>
      <c r="BK11">
        <v>5.231496198704623E-2</v>
      </c>
      <c r="BL11">
        <v>5.6105786522355101E-2</v>
      </c>
      <c r="BM11">
        <v>6.452348716674644E-2</v>
      </c>
      <c r="BN11">
        <v>3.9573325501214368E-2</v>
      </c>
      <c r="BO11">
        <v>5.7155124508140559E-2</v>
      </c>
      <c r="BP11">
        <v>4.6900455227459809E-2</v>
      </c>
      <c r="BQ11">
        <v>4.1474561325640549E-2</v>
      </c>
      <c r="BR11">
        <v>5.4391961596330501E-2</v>
      </c>
      <c r="BS11">
        <v>5.1526926219905587E-2</v>
      </c>
      <c r="BT11">
        <v>4.8760330578512395E-2</v>
      </c>
      <c r="BU11">
        <v>3.888888888888889E-2</v>
      </c>
      <c r="BV11">
        <v>4.06015037593985E-2</v>
      </c>
      <c r="BW11">
        <v>3.8095238095238099E-2</v>
      </c>
      <c r="BX11">
        <v>2.7397260273972601E-2</v>
      </c>
      <c r="BY11">
        <v>4.4827586206896551E-2</v>
      </c>
      <c r="BZ11">
        <v>3.6305732484076432E-2</v>
      </c>
      <c r="CA11">
        <v>3.9405684754521962E-2</v>
      </c>
      <c r="CB11">
        <v>3.5087719298245612E-2</v>
      </c>
      <c r="CC11">
        <v>2.3767082590612002E-2</v>
      </c>
      <c r="CD11">
        <v>3.4813925570228089E-2</v>
      </c>
      <c r="CE11">
        <v>2.9152915291529153E-2</v>
      </c>
      <c r="CF11">
        <v>2.2783251231527094E-2</v>
      </c>
      <c r="CG11">
        <v>3.1685678073510776E-2</v>
      </c>
      <c r="CH11">
        <v>2.5830258302583026E-2</v>
      </c>
      <c r="CI11">
        <v>3.272727272727273E-2</v>
      </c>
      <c r="CJ11">
        <v>2.485549132947977E-2</v>
      </c>
      <c r="CK11">
        <v>2.1337946943483274E-2</v>
      </c>
      <c r="CL11">
        <v>1.7299107142857144E-2</v>
      </c>
      <c r="CM11">
        <v>1.579520697167756E-2</v>
      </c>
      <c r="CN11">
        <v>1.829924650161464E-2</v>
      </c>
      <c r="CO11">
        <v>2.0439448134900357E-2</v>
      </c>
      <c r="CP11">
        <v>1.942690626517727E-2</v>
      </c>
      <c r="CQ11">
        <v>1.566696508504924E-2</v>
      </c>
      <c r="CR11">
        <v>1.8867924528301886E-2</v>
      </c>
      <c r="CS11">
        <v>1.6427969671440605E-2</v>
      </c>
      <c r="CT11">
        <v>1.5585509688289806E-2</v>
      </c>
      <c r="CU11">
        <v>1.3124470787468248E-2</v>
      </c>
      <c r="CV11">
        <v>1.2746710526315789E-2</v>
      </c>
      <c r="CW11">
        <v>1.5944399018806215E-2</v>
      </c>
      <c r="CX11">
        <v>1.7820980153908466E-2</v>
      </c>
      <c r="CY11">
        <v>1.3738551207327226E-2</v>
      </c>
      <c r="CZ11">
        <v>1.4675052410901468E-2</v>
      </c>
      <c r="DA11">
        <v>1.2809187279151944E-2</v>
      </c>
      <c r="DB11">
        <v>1.5002143163309044E-2</v>
      </c>
      <c r="DC11">
        <v>1.3924050632911392E-2</v>
      </c>
      <c r="DD11">
        <v>1.0008340283569641E-2</v>
      </c>
      <c r="DE11">
        <v>9.3155123531794247E-3</v>
      </c>
      <c r="DF11">
        <v>9.1248444628784734E-3</v>
      </c>
      <c r="DG11">
        <v>8.8960776384957533E-3</v>
      </c>
      <c r="DH11">
        <v>4.1999160016799666E-3</v>
      </c>
      <c r="DI11">
        <v>6.7396798652064023E-3</v>
      </c>
      <c r="DJ11">
        <v>1.0356731875719217E-2</v>
      </c>
      <c r="DK11">
        <v>6.5813528336380253E-3</v>
      </c>
      <c r="DL11">
        <v>7.2519083969465646E-3</v>
      </c>
      <c r="DM11">
        <v>6.216006216006216E-3</v>
      </c>
      <c r="DN11">
        <v>7.5156576200417534E-3</v>
      </c>
      <c r="DO11">
        <v>5.9523809523809521E-3</v>
      </c>
      <c r="DP11">
        <v>5.893909626719057E-3</v>
      </c>
      <c r="DQ11">
        <v>4.5431600201918223E-3</v>
      </c>
      <c r="DR11">
        <v>8.6206896551724137E-3</v>
      </c>
      <c r="DS11">
        <v>2.7533039647577094E-3</v>
      </c>
    </row>
    <row r="12" spans="1:123" x14ac:dyDescent="0.35">
      <c r="A12" t="s">
        <v>12</v>
      </c>
      <c r="B12">
        <v>0.1008668242710796</v>
      </c>
      <c r="C12">
        <v>0.11186696900982615</v>
      </c>
      <c r="D12">
        <v>0.1164972634870993</v>
      </c>
      <c r="E12">
        <v>0.1005251312828207</v>
      </c>
      <c r="F12">
        <v>8.7593984962406016E-2</v>
      </c>
      <c r="G12">
        <v>7.4604370761115299E-2</v>
      </c>
      <c r="H12">
        <v>9.2248062015503882E-2</v>
      </c>
      <c r="I12">
        <v>0.11093375897845172</v>
      </c>
      <c r="J12">
        <v>0.12201963534361851</v>
      </c>
      <c r="K12">
        <v>0.11304656949875577</v>
      </c>
      <c r="L12">
        <v>0.10382119682768565</v>
      </c>
      <c r="M12">
        <v>0.13626373626373625</v>
      </c>
      <c r="N12">
        <v>0.11012311901504789</v>
      </c>
      <c r="O12">
        <v>9.6354166666666671E-2</v>
      </c>
      <c r="P12">
        <v>8.9285714285714288E-2</v>
      </c>
      <c r="Q12">
        <v>0.10732984293193717</v>
      </c>
      <c r="R12">
        <v>0.16628527841342486</v>
      </c>
      <c r="S12">
        <v>0.13515509601181683</v>
      </c>
      <c r="T12">
        <v>0.11373390557939914</v>
      </c>
      <c r="U12">
        <v>9.5032397408207347E-2</v>
      </c>
      <c r="V12">
        <v>0.11655172413793104</v>
      </c>
      <c r="W12">
        <v>0.13461538461538461</v>
      </c>
      <c r="X12">
        <v>8.1529581529581535E-2</v>
      </c>
      <c r="Y12">
        <v>8.9349535382416009E-2</v>
      </c>
      <c r="Z12">
        <v>0.10902777777777778</v>
      </c>
      <c r="AA12">
        <v>9.6416938110749181E-2</v>
      </c>
      <c r="AB12">
        <v>9.7592713077423551E-2</v>
      </c>
      <c r="AC12">
        <v>7.1086807928913198E-2</v>
      </c>
      <c r="AD12">
        <v>8.9902280130293166E-2</v>
      </c>
      <c r="AE12">
        <v>7.1041948579161032E-2</v>
      </c>
      <c r="AF12">
        <v>7.8680203045685279E-2</v>
      </c>
      <c r="AG12">
        <v>9.6224116930572479E-2</v>
      </c>
      <c r="AH12">
        <v>9.2152199762187872E-2</v>
      </c>
      <c r="AI12">
        <v>7.7538461538461542E-2</v>
      </c>
      <c r="AJ12">
        <v>8.0141426045963471E-2</v>
      </c>
      <c r="AK12">
        <v>0.10379596678529063</v>
      </c>
      <c r="AL12">
        <v>6.4910025706940877E-2</v>
      </c>
      <c r="AM12">
        <v>7.8750000000000001E-2</v>
      </c>
      <c r="AN12">
        <v>9.2557848655409627E-2</v>
      </c>
      <c r="AO12">
        <v>7.2252580449301759E-2</v>
      </c>
      <c r="AP12">
        <v>6.9515669515669509E-2</v>
      </c>
      <c r="AQ12">
        <v>9.1917591125198095E-2</v>
      </c>
      <c r="AR12">
        <v>7.8066914498141265E-2</v>
      </c>
      <c r="AS12">
        <v>7.4138937536485691E-2</v>
      </c>
      <c r="AT12">
        <v>5.2169421487603305E-2</v>
      </c>
      <c r="AU12">
        <v>4.9431537320810674E-2</v>
      </c>
      <c r="AV12">
        <v>6.4569536423841056E-2</v>
      </c>
      <c r="AW12">
        <v>6.4467766116941536E-2</v>
      </c>
      <c r="AX12">
        <v>4.5708955223880597E-2</v>
      </c>
      <c r="AY12">
        <v>3.7520391517128875E-2</v>
      </c>
      <c r="AZ12">
        <v>7.3324905183312264E-2</v>
      </c>
      <c r="BA12">
        <v>6.7231980617807385E-2</v>
      </c>
      <c r="BB12">
        <v>6.2978222483814003E-2</v>
      </c>
      <c r="BC12">
        <v>8.1828442437923254E-2</v>
      </c>
      <c r="BD12">
        <v>5.9725158562367868E-2</v>
      </c>
      <c r="BE12">
        <v>4.3674936332218785E-2</v>
      </c>
      <c r="BF12">
        <v>6.2400339382908079E-2</v>
      </c>
      <c r="BG12">
        <v>8.3523625157453624E-2</v>
      </c>
      <c r="BH12">
        <v>6.6325445007009376E-2</v>
      </c>
      <c r="BI12">
        <v>6.9628259333725379E-2</v>
      </c>
      <c r="BJ12">
        <v>6.8974112235385313E-2</v>
      </c>
      <c r="BK12">
        <v>6.6438048373812716E-2</v>
      </c>
      <c r="BL12">
        <v>4.44982686280678E-2</v>
      </c>
      <c r="BM12">
        <v>3.5110477198322186E-2</v>
      </c>
      <c r="BN12">
        <v>4.0370361929334644E-2</v>
      </c>
      <c r="BO12">
        <v>4.8979826103178678E-2</v>
      </c>
      <c r="BP12">
        <v>4.2539703870853367E-2</v>
      </c>
      <c r="BQ12">
        <v>4.1847410471685949E-2</v>
      </c>
      <c r="BR12">
        <v>3.4445341289265879E-2</v>
      </c>
      <c r="BS12">
        <v>3.9669981630988747E-2</v>
      </c>
      <c r="BT12">
        <v>4.4715447154471545E-2</v>
      </c>
      <c r="BU12">
        <v>3.650793650793651E-2</v>
      </c>
      <c r="BV12">
        <v>4.6835443037974683E-2</v>
      </c>
      <c r="BW12">
        <v>4.6586345381526104E-2</v>
      </c>
      <c r="BX12">
        <v>5.0649350649350652E-2</v>
      </c>
      <c r="BY12">
        <v>5.9915611814345994E-2</v>
      </c>
      <c r="BZ12">
        <v>4.3697478991596636E-2</v>
      </c>
      <c r="CA12">
        <v>5.1337359792924933E-2</v>
      </c>
      <c r="CB12">
        <v>4.3478260869565216E-2</v>
      </c>
      <c r="CC12">
        <v>4.505994212484498E-2</v>
      </c>
      <c r="CD12">
        <v>3.5698737483674359E-2</v>
      </c>
      <c r="CE12">
        <v>3.1207598371777476E-2</v>
      </c>
      <c r="CF12">
        <v>2.7765134274010013E-2</v>
      </c>
      <c r="CG12">
        <v>2.7347310847766638E-2</v>
      </c>
      <c r="CH12">
        <v>2.9193697868396665E-2</v>
      </c>
      <c r="CI12">
        <v>3.5191956124314444E-2</v>
      </c>
      <c r="CJ12">
        <v>4.003371260008428E-2</v>
      </c>
      <c r="CK12">
        <v>3.216911764705882E-2</v>
      </c>
      <c r="CL12">
        <v>2.8866867729426971E-2</v>
      </c>
      <c r="CM12">
        <v>2.9279279279279279E-2</v>
      </c>
      <c r="CN12">
        <v>2.6362038664323375E-2</v>
      </c>
      <c r="CO12">
        <v>2.0563254358515869E-2</v>
      </c>
      <c r="CP12">
        <v>1.7034990791896871E-2</v>
      </c>
      <c r="CQ12">
        <v>1.9667832167832168E-2</v>
      </c>
      <c r="CR12">
        <v>2.0833333333333332E-2</v>
      </c>
      <c r="CS12">
        <v>2.5221238938053097E-2</v>
      </c>
      <c r="CT12">
        <v>2.0353982300884955E-2</v>
      </c>
      <c r="CU12">
        <v>1.3236549957301452E-2</v>
      </c>
      <c r="CV12">
        <v>1.4119601328903655E-2</v>
      </c>
      <c r="CW12">
        <v>1.5138408304498269E-2</v>
      </c>
      <c r="CX12">
        <v>1.2809187279151944E-2</v>
      </c>
      <c r="CY12">
        <v>1.3605442176870748E-2</v>
      </c>
      <c r="CZ12">
        <v>1.5194681861348529E-2</v>
      </c>
      <c r="DA12">
        <v>1.4215686274509804E-2</v>
      </c>
      <c r="DB12">
        <v>8.2564351627003405E-3</v>
      </c>
      <c r="DC12">
        <v>8.831168831168832E-3</v>
      </c>
      <c r="DD12">
        <v>1.1055831951354339E-2</v>
      </c>
      <c r="DE12">
        <v>1.1387163561076604E-2</v>
      </c>
      <c r="DF12">
        <v>8.6814975583288118E-3</v>
      </c>
      <c r="DG12">
        <v>1.0600706713780919E-2</v>
      </c>
      <c r="DH12">
        <v>8.6157380815623207E-3</v>
      </c>
      <c r="DI12">
        <v>1.0365853658536586E-2</v>
      </c>
      <c r="DJ12">
        <v>7.9863091842555627E-3</v>
      </c>
      <c r="DK12">
        <v>1.0050251256281407E-2</v>
      </c>
      <c r="DL12">
        <v>4.7086521483225424E-3</v>
      </c>
      <c r="DM12">
        <v>8.5242408098028764E-3</v>
      </c>
      <c r="DN12">
        <v>6.138392857142857E-3</v>
      </c>
      <c r="DO12">
        <v>5.6039850560398504E-3</v>
      </c>
      <c r="DP12">
        <v>6.3371356147021544E-3</v>
      </c>
      <c r="DQ12">
        <v>6.2370062370062374E-3</v>
      </c>
      <c r="DR12">
        <v>3.7650602409638554E-3</v>
      </c>
      <c r="DS12">
        <v>8.658008658008658E-3</v>
      </c>
    </row>
    <row r="13" spans="1:123" x14ac:dyDescent="0.35">
      <c r="A13" t="s">
        <v>13</v>
      </c>
      <c r="B13">
        <v>9.5305832147937405E-2</v>
      </c>
      <c r="C13">
        <v>0.10296191819464035</v>
      </c>
      <c r="D13">
        <v>9.606986899563319E-2</v>
      </c>
      <c r="E13">
        <v>8.2251082251082255E-2</v>
      </c>
      <c r="F13">
        <v>7.9142011834319528E-2</v>
      </c>
      <c r="G13">
        <v>7.5872534142640363E-2</v>
      </c>
      <c r="H13">
        <v>8.4400904295403159E-2</v>
      </c>
      <c r="I13">
        <v>9.2814371257485026E-2</v>
      </c>
      <c r="J13">
        <v>9.5505617977528087E-2</v>
      </c>
      <c r="K13">
        <v>9.7073518915060678E-2</v>
      </c>
      <c r="L13">
        <v>9.8693759071117562E-2</v>
      </c>
      <c r="M13">
        <v>0.11363636363636363</v>
      </c>
      <c r="N13">
        <v>0.10611735330836454</v>
      </c>
      <c r="O13">
        <v>8.5679314565483472E-2</v>
      </c>
      <c r="P13">
        <v>8.0917874396135264E-2</v>
      </c>
      <c r="Q13">
        <v>7.9601990049751242E-2</v>
      </c>
      <c r="R13">
        <v>0.14617169373549885</v>
      </c>
      <c r="S13">
        <v>0.13341645885286782</v>
      </c>
      <c r="T13">
        <v>0.14109742441209405</v>
      </c>
      <c r="U13">
        <v>8.943089430894309E-2</v>
      </c>
      <c r="V13">
        <v>8.658536585365853E-2</v>
      </c>
      <c r="W13">
        <v>7.1887034659820284E-2</v>
      </c>
      <c r="X13">
        <v>7.8521939953810627E-2</v>
      </c>
      <c r="Y13">
        <v>8.7320574162679424E-2</v>
      </c>
      <c r="Z13">
        <v>0.10676156583629894</v>
      </c>
      <c r="AA13">
        <v>0.1207897793263647</v>
      </c>
      <c r="AB13">
        <v>8.5336538461538464E-2</v>
      </c>
      <c r="AC13">
        <v>8.0473372781065089E-2</v>
      </c>
      <c r="AD13">
        <v>0.1111111111111111</v>
      </c>
      <c r="AE13">
        <v>8.9848308051341891E-2</v>
      </c>
      <c r="AF13">
        <v>9.2289719626168221E-2</v>
      </c>
      <c r="AG13">
        <v>9.1915836101882614E-2</v>
      </c>
      <c r="AH13">
        <v>8.0473372781065089E-2</v>
      </c>
      <c r="AI13">
        <v>6.1742006615214992E-2</v>
      </c>
      <c r="AJ13">
        <v>7.6178960096735193E-2</v>
      </c>
      <c r="AK13">
        <v>8.381839348079162E-2</v>
      </c>
      <c r="AL13">
        <v>8.0485115766262397E-2</v>
      </c>
      <c r="AM13">
        <v>9.2485549132947972E-2</v>
      </c>
      <c r="AN13">
        <v>0.11346765641569459</v>
      </c>
      <c r="AO13">
        <v>7.5178997613365162E-2</v>
      </c>
      <c r="AP13">
        <v>0.10400866738894908</v>
      </c>
      <c r="AQ13">
        <v>7.4921956295525491E-2</v>
      </c>
      <c r="AR13">
        <v>0.14002205071664828</v>
      </c>
      <c r="AS13">
        <v>7.3319755600814662E-2</v>
      </c>
      <c r="AT13">
        <v>7.050092764378478E-2</v>
      </c>
      <c r="AU13">
        <v>8.0947680157946691E-2</v>
      </c>
      <c r="AV13">
        <v>8.3608360836083612E-2</v>
      </c>
      <c r="AW13">
        <v>5.1537822111388194E-2</v>
      </c>
      <c r="AX13">
        <v>3.727272727272727E-2</v>
      </c>
      <c r="AY13">
        <v>4.4176706827309238E-2</v>
      </c>
      <c r="AZ13">
        <v>6.5498154981549817E-2</v>
      </c>
      <c r="BA13">
        <v>7.792207792207792E-2</v>
      </c>
      <c r="BB13">
        <v>7.8280044101433299E-2</v>
      </c>
      <c r="BC13">
        <v>7.7479338842975212E-2</v>
      </c>
      <c r="BD13">
        <v>6.1946902654867256E-2</v>
      </c>
      <c r="BE13">
        <v>5.904004775954641E-2</v>
      </c>
      <c r="BF13">
        <v>6.1595525786815819E-2</v>
      </c>
      <c r="BG13">
        <v>7.1560025157608897E-2</v>
      </c>
      <c r="BH13">
        <v>4.9615218764233297E-2</v>
      </c>
      <c r="BI13">
        <v>7.92961342668701E-2</v>
      </c>
      <c r="BJ13">
        <v>7.9405488049992159E-2</v>
      </c>
      <c r="BK13">
        <v>6.0135811602141681E-2</v>
      </c>
      <c r="BL13">
        <v>6.4473687480743752E-2</v>
      </c>
      <c r="BM13">
        <v>6.5715503861177721E-2</v>
      </c>
      <c r="BN13">
        <v>6.101504934784549E-2</v>
      </c>
      <c r="BO13">
        <v>8.8513199688111915E-2</v>
      </c>
      <c r="BP13">
        <v>4.806821812566648E-2</v>
      </c>
      <c r="BQ13">
        <v>5.701126008990004E-2</v>
      </c>
      <c r="BR13">
        <v>5.8226736579971808E-2</v>
      </c>
      <c r="BS13">
        <v>5.1052242180945416E-2</v>
      </c>
      <c r="BT13">
        <v>4.4036697247706424E-2</v>
      </c>
      <c r="BU13">
        <v>4.913793103448276E-2</v>
      </c>
      <c r="BV13">
        <v>4.9056603773584909E-2</v>
      </c>
      <c r="BW13">
        <v>5.0892857142857142E-2</v>
      </c>
      <c r="BX13">
        <v>5.0892857142857142E-2</v>
      </c>
      <c r="BY13">
        <v>4.9166666666666664E-2</v>
      </c>
      <c r="BZ13">
        <v>5.2212389380530973E-2</v>
      </c>
      <c r="CA13">
        <v>4.2418772563176894E-2</v>
      </c>
      <c r="CB13">
        <v>3.3333333333333333E-2</v>
      </c>
      <c r="CC13">
        <v>4.7179487179487181E-2</v>
      </c>
      <c r="CD13">
        <v>3.4663865546218489E-2</v>
      </c>
      <c r="CE13">
        <v>2.9818956336528223E-2</v>
      </c>
      <c r="CF13">
        <v>3.1982942430703626E-2</v>
      </c>
      <c r="CG13">
        <v>2.9350104821802937E-2</v>
      </c>
      <c r="CH13">
        <v>2.6615969581749048E-2</v>
      </c>
      <c r="CI13">
        <v>3.3396946564885496E-2</v>
      </c>
      <c r="CJ13">
        <v>2.4024024024024024E-2</v>
      </c>
      <c r="CK13">
        <v>2.8747433264887063E-2</v>
      </c>
      <c r="CL13">
        <v>2.0242914979757085E-2</v>
      </c>
      <c r="CM13">
        <v>2.8625954198473282E-2</v>
      </c>
      <c r="CN13">
        <v>2.4714828897338403E-2</v>
      </c>
      <c r="CO13">
        <v>9.6899224806201549E-3</v>
      </c>
      <c r="CP13">
        <v>2.0735155513666354E-2</v>
      </c>
      <c r="CQ13">
        <v>1.1638316920322292E-2</v>
      </c>
      <c r="CR13">
        <v>1.1970534069981584E-2</v>
      </c>
      <c r="CS13">
        <v>2.5854108956602031E-2</v>
      </c>
      <c r="CT13">
        <v>1.0156971375807941E-2</v>
      </c>
      <c r="CU13">
        <v>1.8375241779497099E-2</v>
      </c>
      <c r="CV13">
        <v>1.4625228519195612E-2</v>
      </c>
      <c r="CW13">
        <v>7.6997112608277194E-3</v>
      </c>
      <c r="CX13">
        <v>1.3527575442247659E-2</v>
      </c>
      <c r="CY13">
        <v>1.083743842364532E-2</v>
      </c>
      <c r="CZ13">
        <v>1.1904761904761904E-2</v>
      </c>
      <c r="DA13">
        <v>1.9108280254777069E-2</v>
      </c>
      <c r="DB13">
        <v>1.2958963282937365E-2</v>
      </c>
      <c r="DC13">
        <v>1.2401352874859075E-2</v>
      </c>
      <c r="DD13">
        <v>1.0256410256410256E-2</v>
      </c>
      <c r="DE13">
        <v>5.7937427578215531E-3</v>
      </c>
      <c r="DF13">
        <v>7.0351758793969852E-3</v>
      </c>
      <c r="DG13">
        <v>4.2689434364994666E-3</v>
      </c>
      <c r="DH13">
        <v>1.1764705882352941E-2</v>
      </c>
      <c r="DI13">
        <v>1.098901098901099E-2</v>
      </c>
      <c r="DJ13">
        <v>7.9455164585698068E-3</v>
      </c>
      <c r="DK13">
        <v>1.4527845036319613E-2</v>
      </c>
      <c r="DL13">
        <v>7.829977628635347E-3</v>
      </c>
      <c r="DM13">
        <v>4.6838407494145199E-3</v>
      </c>
      <c r="DN13">
        <v>9.9502487562189053E-3</v>
      </c>
      <c r="DO13">
        <v>1.2970168612191958E-3</v>
      </c>
      <c r="DP13">
        <v>0</v>
      </c>
      <c r="DQ13">
        <v>7.3637702503681884E-3</v>
      </c>
      <c r="DR13">
        <v>4.815409309791332E-3</v>
      </c>
      <c r="DS13">
        <v>1.7761989342806395E-3</v>
      </c>
    </row>
    <row r="14" spans="1:123" x14ac:dyDescent="0.35">
      <c r="A14" t="s">
        <v>14</v>
      </c>
      <c r="B14">
        <v>0.12111111111111111</v>
      </c>
      <c r="C14">
        <v>9.3679458239277646E-2</v>
      </c>
      <c r="D14">
        <v>0.12525252525252525</v>
      </c>
      <c r="E14">
        <v>0.11737629459148446</v>
      </c>
      <c r="F14">
        <v>0.10070493454179255</v>
      </c>
      <c r="G14">
        <v>8.7735004476275733E-2</v>
      </c>
      <c r="H14">
        <v>9.7461468721668179E-2</v>
      </c>
      <c r="I14">
        <v>0.10743801652892562</v>
      </c>
      <c r="J14">
        <v>0.10617283950617284</v>
      </c>
      <c r="K14">
        <v>0.11135181975736569</v>
      </c>
      <c r="L14">
        <v>0.1171088746569076</v>
      </c>
      <c r="M14">
        <v>0.17102315160567588</v>
      </c>
      <c r="N14">
        <v>0.1468005018820577</v>
      </c>
      <c r="O14">
        <v>0.12952646239554316</v>
      </c>
      <c r="P14">
        <v>0.13429602888086642</v>
      </c>
      <c r="Q14">
        <v>0.16457680250783699</v>
      </c>
      <c r="R14">
        <v>0.16099585062240665</v>
      </c>
      <c r="S14">
        <v>0.13615023474178403</v>
      </c>
      <c r="T14">
        <v>0.15390279823269515</v>
      </c>
      <c r="U14">
        <v>0.13875917278185457</v>
      </c>
      <c r="V14">
        <v>0.16981132075471697</v>
      </c>
      <c r="W14">
        <v>0.15816326530612246</v>
      </c>
      <c r="X14">
        <v>0.1228719467061436</v>
      </c>
      <c r="Y14">
        <v>0.17151848937844216</v>
      </c>
      <c r="Z14">
        <v>0.14989444053483461</v>
      </c>
      <c r="AA14">
        <v>0.18246614397719174</v>
      </c>
      <c r="AB14">
        <v>0.12880258899676375</v>
      </c>
      <c r="AC14">
        <v>0.13922356091030791</v>
      </c>
      <c r="AD14">
        <v>0.14993954050785974</v>
      </c>
      <c r="AE14">
        <v>0.1492354740061162</v>
      </c>
      <c r="AF14">
        <v>0.12485615650172613</v>
      </c>
      <c r="AG14">
        <v>0.16389548693586697</v>
      </c>
      <c r="AH14">
        <v>0.13353658536585367</v>
      </c>
      <c r="AI14">
        <v>0.12859884836852206</v>
      </c>
      <c r="AJ14">
        <v>0.17018633540372671</v>
      </c>
      <c r="AK14">
        <v>0.13048855905998763</v>
      </c>
      <c r="AL14">
        <v>0.12429378531073447</v>
      </c>
      <c r="AM14">
        <v>0.14871194379391101</v>
      </c>
      <c r="AN14">
        <v>0.12507444907683143</v>
      </c>
      <c r="AO14">
        <v>0.13100686498855835</v>
      </c>
      <c r="AP14">
        <v>0.12215078901227353</v>
      </c>
      <c r="AQ14">
        <v>0.15432098765432098</v>
      </c>
      <c r="AR14">
        <v>0.15521064301552107</v>
      </c>
      <c r="AS14">
        <v>0.12868632707774799</v>
      </c>
      <c r="AT14">
        <v>9.2485549132947972E-2</v>
      </c>
      <c r="AU14">
        <v>0.10294728102947281</v>
      </c>
      <c r="AV14">
        <v>8.1276595744680852E-2</v>
      </c>
      <c r="AW14">
        <v>7.5588121866563829E-2</v>
      </c>
      <c r="AX14">
        <v>6.1195613724796608E-2</v>
      </c>
      <c r="AY14">
        <v>4.9575821845174971E-2</v>
      </c>
      <c r="AZ14">
        <v>0.11956521739130435</v>
      </c>
      <c r="BA14">
        <v>0.1361111111111111</v>
      </c>
      <c r="BB14">
        <v>0.10365853658536585</v>
      </c>
      <c r="BC14">
        <v>0.11931818181818182</v>
      </c>
      <c r="BD14">
        <v>0.12996108949416343</v>
      </c>
      <c r="BE14">
        <v>0.14477793809970951</v>
      </c>
      <c r="BF14">
        <v>0.10669319918922196</v>
      </c>
      <c r="BG14">
        <v>0.12054149079001304</v>
      </c>
      <c r="BH14">
        <v>0.14235004356117481</v>
      </c>
      <c r="BI14">
        <v>0.12187249162514399</v>
      </c>
      <c r="BJ14">
        <v>0.11384565073317784</v>
      </c>
      <c r="BK14">
        <v>0.10005678361503423</v>
      </c>
      <c r="BL14">
        <v>9.4026056309002862E-2</v>
      </c>
      <c r="BM14">
        <v>6.502576516812611E-2</v>
      </c>
      <c r="BN14">
        <v>9.8342356286267057E-2</v>
      </c>
      <c r="BO14">
        <v>9.5057994219424957E-2</v>
      </c>
      <c r="BP14">
        <v>6.950526117740026E-2</v>
      </c>
      <c r="BQ14">
        <v>9.0544731242562279E-2</v>
      </c>
      <c r="BR14">
        <v>6.6637931454661209E-2</v>
      </c>
      <c r="BS14">
        <v>5.5036057440848725E-2</v>
      </c>
      <c r="BT14">
        <v>4.3888888888888887E-2</v>
      </c>
      <c r="BU14">
        <v>5.6315789473684208E-2</v>
      </c>
      <c r="BV14">
        <v>4.8351648351648353E-2</v>
      </c>
      <c r="BW14">
        <v>6.4556962025316453E-2</v>
      </c>
      <c r="BX14">
        <v>5.0931677018633541E-2</v>
      </c>
      <c r="BY14">
        <v>4.0372670807453416E-2</v>
      </c>
      <c r="BZ14">
        <v>5.0526315789473683E-2</v>
      </c>
      <c r="CA14">
        <v>6.3856168629882207E-2</v>
      </c>
      <c r="CB14">
        <v>4.1592394533571005E-2</v>
      </c>
      <c r="CC14">
        <v>4.1327489041953665E-2</v>
      </c>
      <c r="CD14">
        <v>2.5371287128712873E-2</v>
      </c>
      <c r="CE14">
        <v>3.5145888594164454E-2</v>
      </c>
      <c r="CF14">
        <v>3.3376963350785341E-2</v>
      </c>
      <c r="CG14">
        <v>3.0808729139922979E-2</v>
      </c>
      <c r="CH14">
        <v>3.6172695449241538E-2</v>
      </c>
      <c r="CI14">
        <v>3.5545023696682464E-2</v>
      </c>
      <c r="CJ14">
        <v>2.6423957721667644E-2</v>
      </c>
      <c r="CK14">
        <v>3.2000000000000001E-2</v>
      </c>
      <c r="CL14">
        <v>3.1655422937208098E-2</v>
      </c>
      <c r="CM14">
        <v>2.1316033364226137E-2</v>
      </c>
      <c r="CN14">
        <v>2.914572864321608E-2</v>
      </c>
      <c r="CO14">
        <v>3.1527093596059111E-2</v>
      </c>
      <c r="CP14">
        <v>2.1761133603238867E-2</v>
      </c>
      <c r="CQ14">
        <v>3.0372756557754257E-2</v>
      </c>
      <c r="CR14">
        <v>2.6937618147448016E-2</v>
      </c>
      <c r="CS14">
        <v>2.7699530516431925E-2</v>
      </c>
      <c r="CT14">
        <v>2.4882629107981221E-2</v>
      </c>
      <c r="CU14">
        <v>1.8092909535452322E-2</v>
      </c>
      <c r="CV14">
        <v>2.3774866569626393E-2</v>
      </c>
      <c r="CW14">
        <v>1.7118402282453638E-2</v>
      </c>
      <c r="CX14">
        <v>1.6008004002000999E-2</v>
      </c>
      <c r="CY14">
        <v>1.5360169491525424E-2</v>
      </c>
      <c r="CZ14">
        <v>1.5765765765765764E-2</v>
      </c>
      <c r="DA14">
        <v>1.4958448753462604E-2</v>
      </c>
      <c r="DB14">
        <v>1.5167930660888408E-2</v>
      </c>
      <c r="DC14">
        <v>1.2399256044637322E-2</v>
      </c>
      <c r="DD14">
        <v>1.8617021276595744E-2</v>
      </c>
      <c r="DE14">
        <v>1.265022137887413E-2</v>
      </c>
      <c r="DF14">
        <v>1.0863350485991996E-2</v>
      </c>
      <c r="DG14">
        <v>7.3529411764705881E-3</v>
      </c>
      <c r="DH14">
        <v>7.4766355140186919E-3</v>
      </c>
      <c r="DI14">
        <v>1.0455104551045511E-2</v>
      </c>
      <c r="DJ14">
        <v>1.3656114214773432E-2</v>
      </c>
      <c r="DK14">
        <v>6.024096385542169E-3</v>
      </c>
      <c r="DL14">
        <v>9.768009768009768E-3</v>
      </c>
      <c r="DM14">
        <v>7.9545454545454537E-3</v>
      </c>
      <c r="DN14">
        <v>6.5632458233890216E-3</v>
      </c>
      <c r="DO14">
        <v>7.4074074074074077E-3</v>
      </c>
      <c r="DP14">
        <v>7.4165636588380719E-3</v>
      </c>
      <c r="DQ14">
        <v>6.7294751009421266E-3</v>
      </c>
      <c r="DR14">
        <v>5.3475935828877002E-3</v>
      </c>
      <c r="DS14">
        <v>5.3394355453852023E-3</v>
      </c>
    </row>
    <row r="15" spans="1:123" x14ac:dyDescent="0.35">
      <c r="A15" t="s">
        <v>15</v>
      </c>
      <c r="B15">
        <v>9.6860986547085207E-2</v>
      </c>
      <c r="C15">
        <v>8.5160202360876902E-2</v>
      </c>
      <c r="D15">
        <v>9.4509450945094511E-2</v>
      </c>
      <c r="E15">
        <v>0.12265624999999999</v>
      </c>
      <c r="F15">
        <v>0.10688836104513064</v>
      </c>
      <c r="G15">
        <v>9.0690208667736763E-2</v>
      </c>
      <c r="H15">
        <v>9.6076861489191354E-2</v>
      </c>
      <c r="I15">
        <v>0.10143769968051118</v>
      </c>
      <c r="J15">
        <v>9.3313739897134457E-2</v>
      </c>
      <c r="K15">
        <v>8.3731178846860085E-2</v>
      </c>
      <c r="L15">
        <v>7.4155653450807629E-2</v>
      </c>
      <c r="M15">
        <v>9.0702947845804988E-2</v>
      </c>
      <c r="N15">
        <v>9.7031136857349751E-2</v>
      </c>
      <c r="O15">
        <v>0.10042735042735043</v>
      </c>
      <c r="P15">
        <v>8.3206106870229002E-2</v>
      </c>
      <c r="Q15">
        <v>9.648466716529544E-2</v>
      </c>
      <c r="R15">
        <v>0.12939416604338069</v>
      </c>
      <c r="S15">
        <v>0.10065645514223195</v>
      </c>
      <c r="T15">
        <v>8.4635416666666671E-2</v>
      </c>
      <c r="U15">
        <v>8.9095744680851061E-2</v>
      </c>
      <c r="V15">
        <v>0.10267229254571027</v>
      </c>
      <c r="W15">
        <v>0.10707204230006609</v>
      </c>
      <c r="X15">
        <v>8.6317135549872123E-2</v>
      </c>
      <c r="Y15">
        <v>6.7893401015228422E-2</v>
      </c>
      <c r="Z15">
        <v>0.1096305269533616</v>
      </c>
      <c r="AA15">
        <v>0.10218068535825545</v>
      </c>
      <c r="AB15">
        <v>7.8018575851393185E-2</v>
      </c>
      <c r="AC15">
        <v>9.2165898617511524E-2</v>
      </c>
      <c r="AD15">
        <v>0.12609970674486803</v>
      </c>
      <c r="AE15">
        <v>8.5310734463276833E-2</v>
      </c>
      <c r="AF15">
        <v>8.8202866593164272E-2</v>
      </c>
      <c r="AG15">
        <v>8.2039911308203997E-2</v>
      </c>
      <c r="AH15">
        <v>0.08</v>
      </c>
      <c r="AI15">
        <v>8.7525844245348039E-2</v>
      </c>
      <c r="AJ15">
        <v>7.3414112615823229E-2</v>
      </c>
      <c r="AK15">
        <v>7.1715817694369979E-2</v>
      </c>
      <c r="AL15">
        <v>7.0412517780938835E-2</v>
      </c>
      <c r="AM15">
        <v>6.13107822410148E-2</v>
      </c>
      <c r="AN15">
        <v>6.6392881587953451E-2</v>
      </c>
      <c r="AO15">
        <v>6.0283687943262408E-2</v>
      </c>
      <c r="AP15">
        <v>5.5555555555555552E-2</v>
      </c>
      <c r="AQ15">
        <v>4.9707602339181284E-2</v>
      </c>
      <c r="AR15">
        <v>7.9639368895567247E-2</v>
      </c>
      <c r="AS15">
        <v>5.3301511535401754E-2</v>
      </c>
      <c r="AT15">
        <v>6.3547486033519548E-2</v>
      </c>
      <c r="AU15">
        <v>4.2372881355932202E-2</v>
      </c>
      <c r="AV15">
        <v>3.385579937304075E-2</v>
      </c>
      <c r="AW15">
        <v>5.0368550368550369E-2</v>
      </c>
      <c r="AX15">
        <v>4.7949526813880129E-2</v>
      </c>
      <c r="AY15">
        <v>2.8183190739808756E-2</v>
      </c>
      <c r="AZ15">
        <v>5.7788944723618091E-2</v>
      </c>
      <c r="BA15">
        <v>4.3560606060606064E-2</v>
      </c>
      <c r="BB15">
        <v>5.8764940239043828E-2</v>
      </c>
      <c r="BC15">
        <v>4.3523316062176166E-2</v>
      </c>
      <c r="BD15">
        <v>6.3522617901828685E-2</v>
      </c>
      <c r="BE15">
        <v>6.5141193368341635E-2</v>
      </c>
      <c r="BF15">
        <v>5.4348054060343556E-2</v>
      </c>
      <c r="BG15">
        <v>4.3654530324324134E-2</v>
      </c>
      <c r="BH15">
        <v>3.9671911280890197E-2</v>
      </c>
      <c r="BI15">
        <v>5.640887382684303E-2</v>
      </c>
      <c r="BJ15">
        <v>4.3044370011586758E-2</v>
      </c>
      <c r="BK15">
        <v>3.2597846767081572E-2</v>
      </c>
      <c r="BL15">
        <v>4.3569349194048153E-2</v>
      </c>
      <c r="BM15">
        <v>4.8901415432690359E-2</v>
      </c>
      <c r="BN15">
        <v>4.3162417716519776E-2</v>
      </c>
      <c r="BO15">
        <v>3.747607569898101E-2</v>
      </c>
      <c r="BP15">
        <v>3.1842022174969974E-2</v>
      </c>
      <c r="BQ15">
        <v>4.8897730346926814E-2</v>
      </c>
      <c r="BR15">
        <v>4.1458646387227044E-2</v>
      </c>
      <c r="BS15">
        <v>4.0367527127536142E-2</v>
      </c>
      <c r="BT15">
        <v>3.9285714285714285E-2</v>
      </c>
      <c r="BU15">
        <v>4.0366972477064222E-2</v>
      </c>
      <c r="BV15">
        <v>3.7735849056603772E-2</v>
      </c>
      <c r="BW15">
        <v>3.5897435897435895E-2</v>
      </c>
      <c r="BX15">
        <v>4.4166666666666667E-2</v>
      </c>
      <c r="BY15">
        <v>3.7499999999999999E-2</v>
      </c>
      <c r="BZ15">
        <v>4.0322580645161289E-2</v>
      </c>
      <c r="CA15">
        <v>4.5909849749582635E-2</v>
      </c>
      <c r="CB15">
        <v>4.0517241379310343E-2</v>
      </c>
      <c r="CC15">
        <v>3.283302063789869E-2</v>
      </c>
      <c r="CD15">
        <v>2.6794258373205742E-2</v>
      </c>
      <c r="CE15">
        <v>2.4691358024691357E-2</v>
      </c>
      <c r="CF15">
        <v>3.2579185520361993E-2</v>
      </c>
      <c r="CG15">
        <v>2.3719165085388995E-2</v>
      </c>
      <c r="CH15">
        <v>2.6724137931034484E-2</v>
      </c>
      <c r="CI15">
        <v>3.7183544303797465E-2</v>
      </c>
      <c r="CJ15">
        <v>2.9962546816479401E-2</v>
      </c>
      <c r="CK15">
        <v>2.7385159010600707E-2</v>
      </c>
      <c r="CL15">
        <v>1.595298068849706E-2</v>
      </c>
      <c r="CM15">
        <v>2.1812080536912751E-2</v>
      </c>
      <c r="CN15">
        <v>1.4950166112956811E-2</v>
      </c>
      <c r="CO15">
        <v>2.7093596059113302E-2</v>
      </c>
      <c r="CP15">
        <v>2.7457927369353409E-2</v>
      </c>
      <c r="CQ15">
        <v>2.1172638436482084E-2</v>
      </c>
      <c r="CR15">
        <v>1.1904761904761904E-2</v>
      </c>
      <c r="CS15">
        <v>2.1479713603818614E-2</v>
      </c>
      <c r="CT15">
        <v>2.3070803500397773E-2</v>
      </c>
      <c r="CU15">
        <v>2.1541010770505385E-2</v>
      </c>
      <c r="CV15">
        <v>1.5329125338142471E-2</v>
      </c>
      <c r="CW15">
        <v>1.6339869281045753E-2</v>
      </c>
      <c r="CX15">
        <v>1.4312977099236641E-2</v>
      </c>
      <c r="CY15">
        <v>1.1461318051575931E-2</v>
      </c>
      <c r="CZ15">
        <v>1.5209125475285171E-2</v>
      </c>
      <c r="DA15">
        <v>1.4097744360902255E-2</v>
      </c>
      <c r="DB15">
        <v>1.9455252918287938E-2</v>
      </c>
      <c r="DC15">
        <v>1.3429752066115703E-2</v>
      </c>
      <c r="DD15">
        <v>8.7145969498910684E-3</v>
      </c>
      <c r="DE15">
        <v>9.74025974025974E-3</v>
      </c>
      <c r="DF15">
        <v>1.1988011988011988E-2</v>
      </c>
      <c r="DG15">
        <v>9.8716683119447184E-3</v>
      </c>
      <c r="DH15">
        <v>8.8582677165354329E-3</v>
      </c>
      <c r="DI15">
        <v>5.0607287449392713E-3</v>
      </c>
      <c r="DJ15">
        <v>1.1410788381742738E-2</v>
      </c>
      <c r="DK15">
        <v>1.1527377521613832E-2</v>
      </c>
      <c r="DL15">
        <v>1.0384215991692628E-2</v>
      </c>
      <c r="DM15">
        <v>5.0403225806451612E-3</v>
      </c>
      <c r="DN15">
        <v>7.9681274900398405E-3</v>
      </c>
      <c r="DO15">
        <v>7.5107296137339056E-3</v>
      </c>
      <c r="DP15">
        <v>3.6585365853658539E-3</v>
      </c>
      <c r="DQ15">
        <v>9.9255583126550868E-3</v>
      </c>
      <c r="DR15">
        <v>3.8363171355498722E-3</v>
      </c>
      <c r="DS15">
        <v>7.9575596816976128E-3</v>
      </c>
    </row>
    <row r="16" spans="1:123" x14ac:dyDescent="0.35">
      <c r="A16" t="s">
        <v>16</v>
      </c>
      <c r="B16">
        <v>0.10903010033444815</v>
      </c>
      <c r="C16">
        <v>0.10834454912516824</v>
      </c>
      <c r="D16">
        <v>0.12681638044914134</v>
      </c>
      <c r="E16">
        <v>0.15374331550802139</v>
      </c>
      <c r="F16">
        <v>0.12226797592651251</v>
      </c>
      <c r="G16">
        <v>9.3919325707405174E-2</v>
      </c>
      <c r="H16">
        <v>0.12696417347580138</v>
      </c>
      <c r="I16">
        <v>0.16305062458908612</v>
      </c>
      <c r="J16">
        <v>0.13164251207729469</v>
      </c>
      <c r="K16">
        <v>0.12808497344579819</v>
      </c>
      <c r="L16">
        <v>0.12427184466019417</v>
      </c>
      <c r="M16">
        <v>0.1150497512437811</v>
      </c>
      <c r="N16">
        <v>0.13116656993615786</v>
      </c>
      <c r="O16">
        <v>0.10011248593925759</v>
      </c>
      <c r="P16">
        <v>0.12002212389380532</v>
      </c>
      <c r="Q16">
        <v>0.11154058531198233</v>
      </c>
      <c r="R16">
        <v>0.18679357525282569</v>
      </c>
      <c r="S16">
        <v>0.10837988826815642</v>
      </c>
      <c r="T16">
        <v>0.15717415115005476</v>
      </c>
      <c r="U16">
        <v>0.12772925764192139</v>
      </c>
      <c r="V16">
        <v>0.11157239231966788</v>
      </c>
      <c r="W16">
        <v>0.11880165289256199</v>
      </c>
      <c r="X16">
        <v>7.7088948787061989E-2</v>
      </c>
      <c r="Y16">
        <v>0.10800644814615798</v>
      </c>
      <c r="Z16">
        <v>0.12048832271762208</v>
      </c>
      <c r="AA16">
        <v>9.784244856999498E-2</v>
      </c>
      <c r="AB16">
        <v>0.10539336961900049</v>
      </c>
      <c r="AC16">
        <v>0.12911266201395813</v>
      </c>
      <c r="AD16">
        <v>9.9255583126550875E-2</v>
      </c>
      <c r="AE16">
        <v>8.6016338298894768E-2</v>
      </c>
      <c r="AF16">
        <v>0.12152614225153086</v>
      </c>
      <c r="AG16">
        <v>0.11699677567941041</v>
      </c>
      <c r="AH16">
        <v>0.10958254269449716</v>
      </c>
      <c r="AI16">
        <v>0.10810810810810811</v>
      </c>
      <c r="AJ16">
        <v>0.1092436974789916</v>
      </c>
      <c r="AK16">
        <v>0.13726487036095578</v>
      </c>
      <c r="AL16">
        <v>0.12260343087790111</v>
      </c>
      <c r="AM16">
        <v>9.5577020843924762E-2</v>
      </c>
      <c r="AN16">
        <v>0.12585571353343866</v>
      </c>
      <c r="AO16">
        <v>7.7714873906330417E-2</v>
      </c>
      <c r="AP16">
        <v>8.1001472754050077E-2</v>
      </c>
      <c r="AQ16">
        <v>0.1009506564056134</v>
      </c>
      <c r="AR16">
        <v>9.2148566055477193E-2</v>
      </c>
      <c r="AS16">
        <v>9.6441947565543071E-2</v>
      </c>
      <c r="AT16">
        <v>8.719101123595506E-2</v>
      </c>
      <c r="AU16">
        <v>6.1003861003861001E-2</v>
      </c>
      <c r="AV16">
        <v>5.5900621118012424E-2</v>
      </c>
      <c r="AW16">
        <v>8.4116541353383464E-2</v>
      </c>
      <c r="AX16">
        <v>9.552656104380243E-2</v>
      </c>
      <c r="AY16">
        <v>4.8750000000000002E-2</v>
      </c>
      <c r="AZ16">
        <v>7.1586389748121967E-2</v>
      </c>
      <c r="BA16">
        <v>0.14853556485355648</v>
      </c>
      <c r="BB16">
        <v>0.1107242339832869</v>
      </c>
      <c r="BC16">
        <v>9.4833224329627208E-2</v>
      </c>
      <c r="BD16">
        <v>7.6062639821029079E-2</v>
      </c>
      <c r="BE16">
        <v>7.6734369901796995E-2</v>
      </c>
      <c r="BF16">
        <v>9.5074614259841164E-2</v>
      </c>
      <c r="BG16">
        <v>0.10317554868471028</v>
      </c>
      <c r="BH16">
        <v>6.138992279897186E-2</v>
      </c>
      <c r="BI16">
        <v>9.8080182628457746E-2</v>
      </c>
      <c r="BJ16">
        <v>0.11643319321055236</v>
      </c>
      <c r="BK16">
        <v>8.4486555495056792E-2</v>
      </c>
      <c r="BL16">
        <v>9.0411019624017541E-2</v>
      </c>
      <c r="BM16">
        <v>6.5286774368284436E-2</v>
      </c>
      <c r="BN16">
        <v>7.9519901708135055E-2</v>
      </c>
      <c r="BO16">
        <v>8.0169472742578796E-2</v>
      </c>
      <c r="BP16">
        <v>7.768884642422981E-2</v>
      </c>
      <c r="BQ16">
        <v>5.8069566640809908E-2</v>
      </c>
      <c r="BR16">
        <v>6.9133425231855047E-2</v>
      </c>
      <c r="BS16">
        <v>6.9197188296403062E-2</v>
      </c>
      <c r="BT16">
        <v>6.9230769230769235E-2</v>
      </c>
      <c r="BU16">
        <v>5.0197628458498025E-2</v>
      </c>
      <c r="BV16">
        <v>6.1685823754789273E-2</v>
      </c>
      <c r="BW16">
        <v>7.6492537313432835E-2</v>
      </c>
      <c r="BX16">
        <v>6.4727272727272731E-2</v>
      </c>
      <c r="BY16">
        <v>5.7039711191335739E-2</v>
      </c>
      <c r="BZ16">
        <v>5.1929824561403506E-2</v>
      </c>
      <c r="CA16">
        <v>5.8552164655784243E-2</v>
      </c>
      <c r="CB16">
        <v>6.2256809338521402E-2</v>
      </c>
      <c r="CC16">
        <v>6.4745508982035932E-2</v>
      </c>
      <c r="CD16">
        <v>5.1005212211466866E-2</v>
      </c>
      <c r="CE16">
        <v>3.0892448512585814E-2</v>
      </c>
      <c r="CF16">
        <v>2.7037466203167246E-2</v>
      </c>
      <c r="CG16">
        <v>3.5491419656786274E-2</v>
      </c>
      <c r="CH16">
        <v>2.8717545239968528E-2</v>
      </c>
      <c r="CI16">
        <v>3.0314097881665451E-2</v>
      </c>
      <c r="CJ16">
        <v>3.115501519756839E-2</v>
      </c>
      <c r="CK16">
        <v>2.3505976095617529E-2</v>
      </c>
      <c r="CL16">
        <v>1.7361111111111112E-2</v>
      </c>
      <c r="CM16">
        <v>2.1619496855345911E-2</v>
      </c>
      <c r="CN16">
        <v>2.1292491595069109E-2</v>
      </c>
      <c r="CO16">
        <v>2.2544283413848631E-2</v>
      </c>
      <c r="CP16">
        <v>1.539708265802269E-2</v>
      </c>
      <c r="CQ16">
        <v>2.4599329109206113E-2</v>
      </c>
      <c r="CR16">
        <v>1.6713091922005572E-2</v>
      </c>
      <c r="CS16">
        <v>2.0272631946871723E-2</v>
      </c>
      <c r="CT16">
        <v>1.6777350576721427E-2</v>
      </c>
      <c r="CU16">
        <v>2.309635510645976E-2</v>
      </c>
      <c r="CV16">
        <v>2.1880998080614205E-2</v>
      </c>
      <c r="CW16">
        <v>1.891891891891892E-2</v>
      </c>
      <c r="CX16">
        <v>1.4348345954563571E-2</v>
      </c>
      <c r="CY16">
        <v>2.199170124481328E-2</v>
      </c>
      <c r="CZ16">
        <v>1.4748054076198279E-2</v>
      </c>
      <c r="DA16">
        <v>2.1957913998170174E-2</v>
      </c>
      <c r="DB16">
        <v>1.1175681716584712E-2</v>
      </c>
      <c r="DC16">
        <v>1.8078020932445291E-2</v>
      </c>
      <c r="DD16">
        <v>8.049242424242424E-3</v>
      </c>
      <c r="DE16">
        <v>1.2048192771084338E-2</v>
      </c>
      <c r="DF16">
        <v>1.3831258644536652E-2</v>
      </c>
      <c r="DG16">
        <v>1.3132295719844358E-2</v>
      </c>
      <c r="DH16">
        <v>1.0471204188481676E-2</v>
      </c>
      <c r="DI16">
        <v>1.2334399269072635E-2</v>
      </c>
      <c r="DJ16">
        <v>1.3199817933545745E-2</v>
      </c>
      <c r="DK16">
        <v>9.7623089983022073E-3</v>
      </c>
      <c r="DL16">
        <v>4.4424700133274099E-3</v>
      </c>
      <c r="DM16">
        <v>7.819287576020852E-3</v>
      </c>
      <c r="DN16">
        <v>1.0948905109489052E-2</v>
      </c>
      <c r="DO16">
        <v>7.6481835564053535E-3</v>
      </c>
      <c r="DP16">
        <v>7.6844262295081966E-3</v>
      </c>
      <c r="DQ16">
        <v>1.001669449081803E-2</v>
      </c>
      <c r="DR16">
        <v>2.9515938606847697E-3</v>
      </c>
      <c r="DS16">
        <v>7.0108349267049078E-3</v>
      </c>
    </row>
    <row r="17" spans="1:123" x14ac:dyDescent="0.35">
      <c r="A17" t="s">
        <v>17</v>
      </c>
      <c r="B17">
        <v>0.10838709677419354</v>
      </c>
      <c r="C17">
        <v>9.6594427244582046E-2</v>
      </c>
      <c r="D17">
        <v>9.1809775429326293E-2</v>
      </c>
      <c r="E17">
        <v>9.6055979643765901E-2</v>
      </c>
      <c r="F17">
        <v>9.2717356432467118E-2</v>
      </c>
      <c r="G17">
        <v>8.9320388349514557E-2</v>
      </c>
      <c r="H17">
        <v>9.8684210526315791E-2</v>
      </c>
      <c r="I17">
        <v>0.10746812386156648</v>
      </c>
      <c r="J17">
        <v>9.2636579572446559E-2</v>
      </c>
      <c r="K17">
        <v>0.10046728971962617</v>
      </c>
      <c r="L17">
        <v>0.10804597701149425</v>
      </c>
      <c r="M17">
        <v>0.10765687967760507</v>
      </c>
      <c r="N17">
        <v>9.2873831775700938E-2</v>
      </c>
      <c r="O17">
        <v>7.8330474556889657E-2</v>
      </c>
      <c r="P17">
        <v>7.4292452830188677E-2</v>
      </c>
      <c r="Q17">
        <v>9.375E-2</v>
      </c>
      <c r="R17">
        <v>0.11651651651651651</v>
      </c>
      <c r="S17">
        <v>9.8732488325550372E-2</v>
      </c>
      <c r="T17">
        <v>9.45945945945946E-2</v>
      </c>
      <c r="U17">
        <v>8.8380716934487027E-2</v>
      </c>
      <c r="V17">
        <v>0.12589227774172615</v>
      </c>
      <c r="W17">
        <v>9.2258064516129029E-2</v>
      </c>
      <c r="X17">
        <v>8.3437892095357596E-2</v>
      </c>
      <c r="Y17">
        <v>8.2331730769230768E-2</v>
      </c>
      <c r="Z17">
        <v>9.4102885821831864E-2</v>
      </c>
      <c r="AA17">
        <v>0.11159600997506235</v>
      </c>
      <c r="AB17">
        <v>8.890330953926022E-2</v>
      </c>
      <c r="AC17">
        <v>0.10564304461942257</v>
      </c>
      <c r="AD17">
        <v>9.3350383631713552E-2</v>
      </c>
      <c r="AE17">
        <v>8.2000000000000003E-2</v>
      </c>
      <c r="AF17">
        <v>8.5134250163719713E-2</v>
      </c>
      <c r="AG17">
        <v>8.1081081081081086E-2</v>
      </c>
      <c r="AH17">
        <v>6.4802182810368356E-2</v>
      </c>
      <c r="AI17">
        <v>8.3916083916083919E-2</v>
      </c>
      <c r="AJ17">
        <v>8.4604715672676842E-2</v>
      </c>
      <c r="AK17">
        <v>7.628865979381444E-2</v>
      </c>
      <c r="AL17">
        <v>9.6439169139465875E-2</v>
      </c>
      <c r="AM17">
        <v>7.8556263269639062E-2</v>
      </c>
      <c r="AN17">
        <v>9.4653179190751446E-2</v>
      </c>
      <c r="AO17">
        <v>7.0721357850070721E-2</v>
      </c>
      <c r="AP17">
        <v>6.4971751412429377E-2</v>
      </c>
      <c r="AQ17">
        <v>8.3781706379707915E-2</v>
      </c>
      <c r="AR17">
        <v>8.6780210867802104E-2</v>
      </c>
      <c r="AS17">
        <v>5.3600000000000002E-2</v>
      </c>
      <c r="AT17">
        <v>5.9856344772545887E-2</v>
      </c>
      <c r="AU17">
        <v>4.4303797468354431E-2</v>
      </c>
      <c r="AV17">
        <v>4.7799696509863432E-2</v>
      </c>
      <c r="AW17">
        <v>5.0887573964497043E-2</v>
      </c>
      <c r="AX17">
        <v>5.033353547604609E-2</v>
      </c>
      <c r="AY17">
        <v>4.5657015590200446E-2</v>
      </c>
      <c r="AZ17">
        <v>7.0992366412213737E-2</v>
      </c>
      <c r="BA17">
        <v>4.4635865309318713E-2</v>
      </c>
      <c r="BB17">
        <v>4.1699449252557044E-2</v>
      </c>
      <c r="BC17">
        <v>5.4892601431980909E-2</v>
      </c>
      <c r="BD17">
        <v>4.1057759220598469E-2</v>
      </c>
      <c r="BE17">
        <v>4.9453444761077159E-2</v>
      </c>
      <c r="BF17">
        <v>4.4065451963352827E-2</v>
      </c>
      <c r="BG17">
        <v>6.4904891266400561E-2</v>
      </c>
      <c r="BH17">
        <v>4.0946633578865917E-2</v>
      </c>
      <c r="BI17">
        <v>7.0399745361545918E-2</v>
      </c>
      <c r="BJ17">
        <v>3.7316091263060597E-2</v>
      </c>
      <c r="BK17">
        <v>3.7466315402076358E-2</v>
      </c>
      <c r="BL17">
        <v>3.4472476392289633E-2</v>
      </c>
      <c r="BM17">
        <v>4.144817531602369E-2</v>
      </c>
      <c r="BN17">
        <v>2.991903031212571E-2</v>
      </c>
      <c r="BO17">
        <v>4.640480789038097E-2</v>
      </c>
      <c r="BP17">
        <v>3.1526005261903918E-2</v>
      </c>
      <c r="BQ17">
        <v>4.1097171649883635E-2</v>
      </c>
      <c r="BR17">
        <v>4.4619576060744147E-2</v>
      </c>
      <c r="BS17">
        <v>3.9464320128878752E-2</v>
      </c>
      <c r="BT17">
        <v>3.4435483870967738E-2</v>
      </c>
      <c r="BU17">
        <v>3.2666666666666663E-2</v>
      </c>
      <c r="BV17">
        <v>3.4744525547445254E-2</v>
      </c>
      <c r="BW17">
        <v>3.9499999999999993E-2</v>
      </c>
      <c r="BX17">
        <v>2.8538461538461537E-2</v>
      </c>
      <c r="BY17">
        <v>3.3055555555555553E-2</v>
      </c>
      <c r="BZ17">
        <v>3.6381578947368418E-2</v>
      </c>
      <c r="CA17">
        <v>2.8378378378378376E-2</v>
      </c>
      <c r="CB17">
        <v>2.8450920245398772E-2</v>
      </c>
      <c r="CC17">
        <v>3.4426229508196717E-2</v>
      </c>
      <c r="CD17">
        <v>3.2389046270066099E-2</v>
      </c>
      <c r="CE17">
        <v>2.7411652340019101E-2</v>
      </c>
      <c r="CF17">
        <v>3.8375634517766495E-2</v>
      </c>
      <c r="CG17">
        <v>4.0036900369003689E-2</v>
      </c>
      <c r="CH17">
        <v>2.3381294964028777E-2</v>
      </c>
      <c r="CI17">
        <v>3.0927835051546393E-2</v>
      </c>
      <c r="CJ17">
        <v>1.9653179190751446E-2</v>
      </c>
      <c r="CK17">
        <v>2.2516556291390728E-2</v>
      </c>
      <c r="CL17">
        <v>1.5276893698281349E-2</v>
      </c>
      <c r="CM17">
        <v>2.1345407503234153E-2</v>
      </c>
      <c r="CN17">
        <v>2.6168224299065422E-2</v>
      </c>
      <c r="CO17">
        <v>2.403846153846154E-2</v>
      </c>
      <c r="CP17">
        <v>1.2980269989615784E-2</v>
      </c>
      <c r="CQ17">
        <v>1.5231400117164616E-2</v>
      </c>
      <c r="CR17">
        <v>1.9768234492160874E-2</v>
      </c>
      <c r="CS17">
        <v>1.8417462482946793E-2</v>
      </c>
      <c r="CT17">
        <v>2.3192360163710776E-2</v>
      </c>
      <c r="CU17">
        <v>1.0501750291715286E-2</v>
      </c>
      <c r="CV17">
        <v>1.6362492133417242E-2</v>
      </c>
      <c r="CW17">
        <v>1.2391573729863693E-2</v>
      </c>
      <c r="CX17">
        <v>1.1533242876526458E-2</v>
      </c>
      <c r="CY17">
        <v>1.077996195307546E-2</v>
      </c>
      <c r="CZ17">
        <v>1.1635423400129283E-2</v>
      </c>
      <c r="DA17">
        <v>1.0500308832612723E-2</v>
      </c>
      <c r="DB17">
        <v>1.2931034482758621E-2</v>
      </c>
      <c r="DC17">
        <v>1.5395894428152493E-2</v>
      </c>
      <c r="DD17">
        <v>6.8917987594762234E-3</v>
      </c>
      <c r="DE17">
        <v>7.4880871341048332E-3</v>
      </c>
      <c r="DF17">
        <v>9.6286107290233843E-3</v>
      </c>
      <c r="DG17">
        <v>9.372746935832732E-3</v>
      </c>
      <c r="DH17">
        <v>5.5478502080443829E-3</v>
      </c>
      <c r="DI17">
        <v>1.0378057820607857E-2</v>
      </c>
      <c r="DJ17">
        <v>7.3726541554959783E-3</v>
      </c>
      <c r="DK17">
        <v>1.314878892733564E-2</v>
      </c>
      <c r="DL17">
        <v>8.119079837618403E-3</v>
      </c>
      <c r="DM17">
        <v>7.9136690647482015E-3</v>
      </c>
      <c r="DN17">
        <v>4.1465100207325502E-3</v>
      </c>
      <c r="DO17">
        <v>3.9840637450199202E-3</v>
      </c>
      <c r="DP17">
        <v>6.8610634648370496E-3</v>
      </c>
      <c r="DQ17">
        <v>1.3052208835341365E-2</v>
      </c>
      <c r="DR17">
        <v>1.1627906976744186E-2</v>
      </c>
      <c r="DS17">
        <v>7.3761854583772393E-3</v>
      </c>
    </row>
    <row r="18" spans="1:123" x14ac:dyDescent="0.35">
      <c r="A18" t="s">
        <v>18</v>
      </c>
      <c r="B18">
        <v>0.15570934256055363</v>
      </c>
      <c r="C18">
        <v>0.13252032520325202</v>
      </c>
      <c r="D18">
        <v>0.12126111560226355</v>
      </c>
      <c r="E18">
        <v>0.14717906786590351</v>
      </c>
      <c r="F18">
        <v>0.12668024439918535</v>
      </c>
      <c r="G18">
        <v>0.10633116883116883</v>
      </c>
      <c r="H18">
        <v>0.11216730038022814</v>
      </c>
      <c r="I18">
        <v>0.11731044349070101</v>
      </c>
      <c r="J18">
        <v>0.12283236994219653</v>
      </c>
      <c r="K18">
        <v>0.13371675053918045</v>
      </c>
      <c r="L18">
        <v>0.14449213161659513</v>
      </c>
      <c r="M18">
        <v>0.11656005685856433</v>
      </c>
      <c r="N18">
        <v>0.11030383091149273</v>
      </c>
      <c r="O18">
        <v>8.8679245283018862E-2</v>
      </c>
      <c r="P18">
        <v>8.6317135549872123E-2</v>
      </c>
      <c r="Q18">
        <v>0.10932475884244373</v>
      </c>
      <c r="R18">
        <v>0.12445278298936835</v>
      </c>
      <c r="S18">
        <v>0.11215580926796508</v>
      </c>
      <c r="T18">
        <v>0.11849529780564264</v>
      </c>
      <c r="U18">
        <v>0.10205278592375366</v>
      </c>
      <c r="V18">
        <v>9.1024020227560051E-2</v>
      </c>
      <c r="W18">
        <v>0.12937685459940654</v>
      </c>
      <c r="X18">
        <v>9.1710758377425039E-2</v>
      </c>
      <c r="Y18">
        <v>9.3309859154929578E-2</v>
      </c>
      <c r="Z18">
        <v>9.4587493431424072E-2</v>
      </c>
      <c r="AA18">
        <v>0.1119606772255598</v>
      </c>
      <c r="AB18">
        <v>8.5199344620425999E-2</v>
      </c>
      <c r="AC18">
        <v>9.1403699673558214E-2</v>
      </c>
      <c r="AD18">
        <v>9.0422685928303909E-2</v>
      </c>
      <c r="AE18">
        <v>9.927611168562564E-2</v>
      </c>
      <c r="AF18">
        <v>9.6562184024266931E-2</v>
      </c>
      <c r="AG18">
        <v>6.9352371239163699E-2</v>
      </c>
      <c r="AH18">
        <v>0.10627753303964757</v>
      </c>
      <c r="AI18">
        <v>8.9048106448311154E-2</v>
      </c>
      <c r="AJ18">
        <v>7.8669482576557551E-2</v>
      </c>
      <c r="AK18">
        <v>8.7614926987560848E-2</v>
      </c>
      <c r="AL18">
        <v>8.7777777777777774E-2</v>
      </c>
      <c r="AM18">
        <v>9.387296233839236E-2</v>
      </c>
      <c r="AN18">
        <v>0.10396039603960396</v>
      </c>
      <c r="AO18">
        <v>7.0467993544916618E-2</v>
      </c>
      <c r="AP18">
        <v>9.42970073404856E-2</v>
      </c>
      <c r="AQ18">
        <v>7.0801317233809002E-2</v>
      </c>
      <c r="AR18">
        <v>9.5438175270108047E-2</v>
      </c>
      <c r="AS18">
        <v>5.4732041049030788E-2</v>
      </c>
      <c r="AT18">
        <v>5.9083379348426286E-2</v>
      </c>
      <c r="AU18">
        <v>4.8985650667986144E-2</v>
      </c>
      <c r="AV18">
        <v>7.2911392405063294E-2</v>
      </c>
      <c r="AW18">
        <v>4.5023696682464455E-2</v>
      </c>
      <c r="AX18">
        <v>5.2296498408367441E-2</v>
      </c>
      <c r="AY18">
        <v>5.2707930367504832E-2</v>
      </c>
      <c r="AZ18">
        <v>6.0638297872340423E-2</v>
      </c>
      <c r="BA18">
        <v>8.1003584229390677E-2</v>
      </c>
      <c r="BB18">
        <v>8.1765557163531108E-2</v>
      </c>
      <c r="BC18">
        <v>6.7193675889328064E-2</v>
      </c>
      <c r="BD18">
        <v>5.5524397083567024E-2</v>
      </c>
      <c r="BE18">
        <v>5.6878378914293662E-2</v>
      </c>
      <c r="BF18">
        <v>7.7468221027223741E-2</v>
      </c>
      <c r="BG18">
        <v>7.7218098643361835E-2</v>
      </c>
      <c r="BH18">
        <v>7.5824405828467625E-2</v>
      </c>
      <c r="BI18">
        <v>8.0142445402154219E-2</v>
      </c>
      <c r="BJ18">
        <v>7.6447515349271064E-2</v>
      </c>
      <c r="BK18">
        <v>8.9458293945312559E-2</v>
      </c>
      <c r="BL18">
        <v>8.2291397405412303E-2</v>
      </c>
      <c r="BM18">
        <v>7.6809900680833668E-2</v>
      </c>
      <c r="BN18">
        <v>5.43379688390166E-2</v>
      </c>
      <c r="BO18">
        <v>6.629428253125938E-2</v>
      </c>
      <c r="BP18">
        <v>5.0071861417227657E-2</v>
      </c>
      <c r="BQ18">
        <v>6.9205060411535527E-2</v>
      </c>
      <c r="BR18">
        <v>5.9392166793113023E-2</v>
      </c>
      <c r="BS18">
        <v>4.7410384557786518E-2</v>
      </c>
      <c r="BT18">
        <v>3.5329341317365266E-2</v>
      </c>
      <c r="BU18">
        <v>3.793103448275862E-2</v>
      </c>
      <c r="BV18">
        <v>4.7486033519553071E-2</v>
      </c>
      <c r="BW18">
        <v>4.7093023255813951E-2</v>
      </c>
      <c r="BX18">
        <v>4.0119760479041915E-2</v>
      </c>
      <c r="BY18">
        <v>4.189944134078212E-2</v>
      </c>
      <c r="BZ18">
        <v>3.6612021857923498E-2</v>
      </c>
      <c r="CA18">
        <v>3.130148270181219E-2</v>
      </c>
      <c r="CB18">
        <v>3.5616438356164383E-2</v>
      </c>
      <c r="CC18">
        <v>3.8379530916844352E-2</v>
      </c>
      <c r="CD18">
        <v>3.2203389830508473E-2</v>
      </c>
      <c r="CE18">
        <v>3.5888077858880776E-2</v>
      </c>
      <c r="CF18">
        <v>2.8356481481481483E-2</v>
      </c>
      <c r="CG18">
        <v>3.0821917808219176E-2</v>
      </c>
      <c r="CH18">
        <v>2.171361502347418E-2</v>
      </c>
      <c r="CI18">
        <v>2.5252525252525252E-2</v>
      </c>
      <c r="CJ18">
        <v>2.5982256020278833E-2</v>
      </c>
      <c r="CK18">
        <v>1.8518518518518517E-2</v>
      </c>
      <c r="CL18">
        <v>2.0227560050568902E-2</v>
      </c>
      <c r="CM18">
        <v>1.8147684605757195E-2</v>
      </c>
      <c r="CN18">
        <v>1.5262515262515262E-2</v>
      </c>
      <c r="CO18">
        <v>1.9028871391076115E-2</v>
      </c>
      <c r="CP18">
        <v>1.8170019467878003E-2</v>
      </c>
      <c r="CQ18">
        <v>2.25705329153605E-2</v>
      </c>
      <c r="CR18">
        <v>1.772816808929744E-2</v>
      </c>
      <c r="CS18">
        <v>2.1470396877033181E-2</v>
      </c>
      <c r="CT18">
        <v>2.4072869225764477E-2</v>
      </c>
      <c r="CU18">
        <v>1.4857881136950904E-2</v>
      </c>
      <c r="CV18">
        <v>1.36275146009085E-2</v>
      </c>
      <c r="CW18">
        <v>1.1897307451471509E-2</v>
      </c>
      <c r="CX18">
        <v>1.7964071856287425E-2</v>
      </c>
      <c r="CY18">
        <v>1.7857142857142856E-2</v>
      </c>
      <c r="CZ18">
        <v>1.7461383478844864E-2</v>
      </c>
      <c r="DA18">
        <v>1.8505338078291814E-2</v>
      </c>
      <c r="DB18">
        <v>1.4905149051490514E-2</v>
      </c>
      <c r="DC18">
        <v>1.0494752623688156E-2</v>
      </c>
      <c r="DD18">
        <v>5.7096247960848291E-3</v>
      </c>
      <c r="DE18">
        <v>1.676829268292683E-2</v>
      </c>
      <c r="DF18">
        <v>1.1547344110854504E-2</v>
      </c>
      <c r="DG18">
        <v>4.8780487804878049E-3</v>
      </c>
      <c r="DH18">
        <v>8.7873462214411256E-3</v>
      </c>
      <c r="DI18">
        <v>1.8001800180018002E-2</v>
      </c>
      <c r="DJ18">
        <v>7.073386383731211E-3</v>
      </c>
      <c r="DK18">
        <v>9.4991364421416237E-3</v>
      </c>
      <c r="DL18">
        <v>7.9646017699115043E-3</v>
      </c>
      <c r="DM18">
        <v>9.5735422106179285E-3</v>
      </c>
      <c r="DN18">
        <v>9.5155709342560554E-3</v>
      </c>
      <c r="DO18">
        <v>2.7223230490018148E-3</v>
      </c>
      <c r="DP18">
        <v>8.6114101184068884E-3</v>
      </c>
      <c r="DQ18">
        <v>6.2047569803516025E-3</v>
      </c>
      <c r="DR18">
        <v>4.7393364928909956E-3</v>
      </c>
      <c r="DS18">
        <v>3.5714285714285713E-3</v>
      </c>
    </row>
    <row r="19" spans="1:123" x14ac:dyDescent="0.35">
      <c r="A19" t="s">
        <v>19</v>
      </c>
      <c r="B19">
        <v>8.9506172839506168E-2</v>
      </c>
      <c r="C19">
        <v>8.5180055401662055E-2</v>
      </c>
      <c r="D19">
        <v>0.11330049261083744</v>
      </c>
      <c r="E19">
        <v>0.12046543463381246</v>
      </c>
      <c r="F19">
        <v>8.9315525876460772E-2</v>
      </c>
      <c r="G19">
        <v>6.7979371776840131E-2</v>
      </c>
      <c r="H19">
        <v>8.3925642427556041E-2</v>
      </c>
      <c r="I19">
        <v>0.10622950819672131</v>
      </c>
      <c r="J19">
        <v>0.10253317249698432</v>
      </c>
      <c r="K19">
        <v>0.10960629921259843</v>
      </c>
      <c r="L19">
        <v>0.11733684904416612</v>
      </c>
      <c r="M19">
        <v>0.14812611540749554</v>
      </c>
      <c r="N19">
        <v>0.14378698224852071</v>
      </c>
      <c r="O19">
        <v>7.8048780487804878E-2</v>
      </c>
      <c r="P19">
        <v>0.10887096774193548</v>
      </c>
      <c r="Q19">
        <v>0.10151430173864273</v>
      </c>
      <c r="R19">
        <v>0.1341317365269461</v>
      </c>
      <c r="S19">
        <v>0.12555309734513273</v>
      </c>
      <c r="T19">
        <v>0.11446360153256704</v>
      </c>
      <c r="U19">
        <v>8.5050184891706293E-2</v>
      </c>
      <c r="V19">
        <v>0.1253291205897841</v>
      </c>
      <c r="W19">
        <v>0.1275239107332625</v>
      </c>
      <c r="X19">
        <v>8.6885245901639346E-2</v>
      </c>
      <c r="Y19">
        <v>0.10982658959537572</v>
      </c>
      <c r="Z19">
        <v>9.4069529652351741E-2</v>
      </c>
      <c r="AA19">
        <v>0.11351909184726522</v>
      </c>
      <c r="AB19">
        <v>8.133268005879471E-2</v>
      </c>
      <c r="AC19">
        <v>8.9929994614970379E-2</v>
      </c>
      <c r="AD19">
        <v>8.908467939304944E-2</v>
      </c>
      <c r="AE19">
        <v>0.10309777347531461</v>
      </c>
      <c r="AF19">
        <v>0.10126012601260126</v>
      </c>
      <c r="AG19">
        <v>9.8812351543942994E-2</v>
      </c>
      <c r="AH19">
        <v>9.8571428571428574E-2</v>
      </c>
      <c r="AI19">
        <v>0.10356164383561643</v>
      </c>
      <c r="AJ19">
        <v>0.18921389396709323</v>
      </c>
      <c r="AK19">
        <v>0.10867293625914315</v>
      </c>
      <c r="AL19">
        <v>7.9306722689075626E-2</v>
      </c>
      <c r="AM19">
        <v>0.12241958713394142</v>
      </c>
      <c r="AN19">
        <v>9.7724922440537751E-2</v>
      </c>
      <c r="AO19">
        <v>0.10996240601503759</v>
      </c>
      <c r="AP19">
        <v>9.1165413533834588E-2</v>
      </c>
      <c r="AQ19">
        <v>8.3931777378815076E-2</v>
      </c>
      <c r="AR19">
        <v>8.5494716618635933E-2</v>
      </c>
      <c r="AS19">
        <v>0.1037344398340249</v>
      </c>
      <c r="AT19">
        <v>6.8867155664221677E-2</v>
      </c>
      <c r="AU19">
        <v>5.6966897613548881E-2</v>
      </c>
      <c r="AV19">
        <v>5.0527081061432208E-2</v>
      </c>
      <c r="AW19">
        <v>5.1724137931034482E-2</v>
      </c>
      <c r="AX19">
        <v>4.4514546091833161E-2</v>
      </c>
      <c r="AY19">
        <v>3.1824417009602195E-2</v>
      </c>
      <c r="AZ19">
        <v>6.1080262493690057E-2</v>
      </c>
      <c r="BA19">
        <v>9.4423320659062102E-2</v>
      </c>
      <c r="BB19">
        <v>7.4519230769230768E-2</v>
      </c>
      <c r="BC19">
        <v>8.1353919239904982E-2</v>
      </c>
      <c r="BD19">
        <v>6.7259588660366867E-2</v>
      </c>
      <c r="BE19">
        <v>7.6848412857859275E-2</v>
      </c>
      <c r="BF19">
        <v>5.3121578636154063E-2</v>
      </c>
      <c r="BG19">
        <v>8.0292353167342956E-2</v>
      </c>
      <c r="BH19">
        <v>7.3474350815118647E-2</v>
      </c>
      <c r="BI19">
        <v>8.4039771609261182E-2</v>
      </c>
      <c r="BJ19">
        <v>5.8247254699944684E-2</v>
      </c>
      <c r="BK19">
        <v>5.955536758268197E-2</v>
      </c>
      <c r="BL19">
        <v>6.9366880507739426E-2</v>
      </c>
      <c r="BM19">
        <v>5.5594154636435196E-2</v>
      </c>
      <c r="BN19">
        <v>5.7350208346135814E-2</v>
      </c>
      <c r="BO19">
        <v>5.5665358289177125E-2</v>
      </c>
      <c r="BP19">
        <v>5.5925652559427268E-2</v>
      </c>
      <c r="BQ19">
        <v>6.1835022672090505E-2</v>
      </c>
      <c r="BR19">
        <v>4.8476873028886251E-2</v>
      </c>
      <c r="BS19">
        <v>4.9482057916805627E-2</v>
      </c>
      <c r="BT19">
        <v>5.0454545454545453E-2</v>
      </c>
      <c r="BU19">
        <v>4.4019138755980861E-2</v>
      </c>
      <c r="BV19">
        <v>5.0724637681159424E-2</v>
      </c>
      <c r="BW19">
        <v>6.4285714285714279E-2</v>
      </c>
      <c r="BX19">
        <v>4.0686274509803923E-2</v>
      </c>
      <c r="BY19">
        <v>5.2558139534883724E-2</v>
      </c>
      <c r="BZ19">
        <v>4.1314553990610327E-2</v>
      </c>
      <c r="CA19">
        <v>4.3340380549682873E-2</v>
      </c>
      <c r="CB19">
        <v>3.8360483447188648E-2</v>
      </c>
      <c r="CC19">
        <v>2.7333677153171736E-2</v>
      </c>
      <c r="CD19">
        <v>3.411633109619687E-2</v>
      </c>
      <c r="CE19">
        <v>1.952662721893491E-2</v>
      </c>
      <c r="CF19">
        <v>2.4067388688327317E-2</v>
      </c>
      <c r="CG19">
        <v>1.9277108433734941E-2</v>
      </c>
      <c r="CH19">
        <v>3.215434083601286E-2</v>
      </c>
      <c r="CI19">
        <v>2.406679764243615E-2</v>
      </c>
      <c r="CJ19">
        <v>2.4590163934426229E-2</v>
      </c>
      <c r="CK19">
        <v>2.0670391061452513E-2</v>
      </c>
      <c r="CL19">
        <v>1.7714285714285714E-2</v>
      </c>
      <c r="CM19">
        <v>2.3630504833512353E-2</v>
      </c>
      <c r="CN19">
        <v>2.0042194092827006E-2</v>
      </c>
      <c r="CO19">
        <v>2.4403771491957847E-2</v>
      </c>
      <c r="CP19">
        <v>1.3625592417061612E-2</v>
      </c>
      <c r="CQ19">
        <v>1.9448946515397084E-2</v>
      </c>
      <c r="CR19">
        <v>1.4925373134328358E-2</v>
      </c>
      <c r="CS19">
        <v>1.6296296296296295E-2</v>
      </c>
      <c r="CT19">
        <v>1.9259259259259261E-2</v>
      </c>
      <c r="CU19">
        <v>1.7432646592709985E-2</v>
      </c>
      <c r="CV19">
        <v>1.7983651226158037E-2</v>
      </c>
      <c r="CW19">
        <v>1.0118043844856661E-2</v>
      </c>
      <c r="CX19">
        <v>1.6453382084095063E-2</v>
      </c>
      <c r="CY19">
        <v>1.5634047481181239E-2</v>
      </c>
      <c r="CZ19">
        <v>1.4634146341463415E-2</v>
      </c>
      <c r="DA19">
        <v>1.1472275334608031E-2</v>
      </c>
      <c r="DB19">
        <v>1.0902483343428226E-2</v>
      </c>
      <c r="DC19">
        <v>7.3475385745775165E-3</v>
      </c>
      <c r="DD19">
        <v>9.11854103343465E-3</v>
      </c>
      <c r="DE19">
        <v>7.7519379844961239E-3</v>
      </c>
      <c r="DF19">
        <v>7.1581961345740875E-3</v>
      </c>
      <c r="DG19">
        <v>8.8170462894930201E-3</v>
      </c>
      <c r="DH19">
        <v>6.2063615205585725E-3</v>
      </c>
      <c r="DI19">
        <v>1.4251781472684086E-2</v>
      </c>
      <c r="DJ19">
        <v>7.4515648286140089E-3</v>
      </c>
      <c r="DK19">
        <v>7.656967840735069E-3</v>
      </c>
      <c r="DL19">
        <v>9.324009324009324E-3</v>
      </c>
      <c r="DM19">
        <v>8.658008658008658E-3</v>
      </c>
      <c r="DN19">
        <v>8.778346744696415E-3</v>
      </c>
      <c r="DO19">
        <v>9.7481722177091799E-3</v>
      </c>
      <c r="DP19">
        <v>6.9686411149825784E-3</v>
      </c>
      <c r="DQ19">
        <v>6.3810391978122152E-3</v>
      </c>
      <c r="DR19">
        <v>7.3597056117755289E-3</v>
      </c>
      <c r="DS19">
        <v>1.0367577756833177E-2</v>
      </c>
    </row>
    <row r="20" spans="1:123" x14ac:dyDescent="0.35">
      <c r="A20" t="s">
        <v>20</v>
      </c>
      <c r="B20">
        <v>0.10478359908883828</v>
      </c>
      <c r="C20">
        <v>4.8979591836734691E-2</v>
      </c>
      <c r="D20">
        <v>8.4937712344280866E-2</v>
      </c>
      <c r="E20">
        <v>7.6856649395509499E-2</v>
      </c>
      <c r="F20">
        <v>6.9162995594713658E-2</v>
      </c>
      <c r="G20">
        <v>6.1151079136690649E-2</v>
      </c>
      <c r="H20">
        <v>6.6822429906542052E-2</v>
      </c>
      <c r="I20">
        <v>7.2957198443579771E-2</v>
      </c>
      <c r="J20">
        <v>8.0074487895716945E-2</v>
      </c>
      <c r="K20">
        <v>8.3293441838200102E-2</v>
      </c>
      <c r="L20">
        <v>8.6699507389162558E-2</v>
      </c>
      <c r="M20">
        <v>6.1309030654515324E-2</v>
      </c>
      <c r="N20">
        <v>8.1118881118881117E-2</v>
      </c>
      <c r="O20">
        <v>7.4130105900151289E-2</v>
      </c>
      <c r="P20">
        <v>8.1699346405228759E-2</v>
      </c>
      <c r="Q20">
        <v>8.6486486486486491E-2</v>
      </c>
      <c r="R20">
        <v>0.12113617376775271</v>
      </c>
      <c r="S20">
        <v>0.11906677393403058</v>
      </c>
      <c r="T20">
        <v>7.792207792207792E-2</v>
      </c>
      <c r="U20">
        <v>8.8193456614509252E-2</v>
      </c>
      <c r="V20">
        <v>0.11837048424289008</v>
      </c>
      <c r="W20">
        <v>0.11215686274509803</v>
      </c>
      <c r="X20">
        <v>7.3170731707317069E-2</v>
      </c>
      <c r="Y20">
        <v>0.11228334589299171</v>
      </c>
      <c r="Z20">
        <v>0.13423831070889894</v>
      </c>
      <c r="AA20">
        <v>0.14058956916099774</v>
      </c>
      <c r="AB20">
        <v>8.9494163424124515E-2</v>
      </c>
      <c r="AC20">
        <v>9.1059602649006616E-2</v>
      </c>
      <c r="AD20">
        <v>0.11980830670926518</v>
      </c>
      <c r="AE20">
        <v>0.11407160699417153</v>
      </c>
      <c r="AF20">
        <v>0.10833333333333334</v>
      </c>
      <c r="AG20">
        <v>0.1285475792988314</v>
      </c>
      <c r="AH20">
        <v>0.12489379779099405</v>
      </c>
      <c r="AI20">
        <v>8.6599817684594349E-2</v>
      </c>
      <c r="AJ20">
        <v>0.11234042553191489</v>
      </c>
      <c r="AK20">
        <v>0.13854489164086686</v>
      </c>
      <c r="AL20">
        <v>0.10775510204081633</v>
      </c>
      <c r="AM20">
        <v>9.7802976612331685E-2</v>
      </c>
      <c r="AN20">
        <v>8.9036055923473148E-2</v>
      </c>
      <c r="AO20">
        <v>0.11806043569922699</v>
      </c>
      <c r="AP20">
        <v>9.7885669537979642E-2</v>
      </c>
      <c r="AQ20">
        <v>7.4051026757934041E-2</v>
      </c>
      <c r="AR20">
        <v>0.13730355665839536</v>
      </c>
      <c r="AS20">
        <v>0.10030864197530864</v>
      </c>
      <c r="AT20">
        <v>5.9187887130075709E-2</v>
      </c>
      <c r="AU20">
        <v>6.5737051792828682E-2</v>
      </c>
      <c r="AV20">
        <v>5.6485355648535567E-2</v>
      </c>
      <c r="AW20">
        <v>3.3576642335766425E-2</v>
      </c>
      <c r="AX20">
        <v>4.8908954100827691E-2</v>
      </c>
      <c r="AY20">
        <v>2.8620492272467088E-2</v>
      </c>
      <c r="AZ20">
        <v>7.6666666666666661E-2</v>
      </c>
      <c r="BA20">
        <v>8.00561797752809E-2</v>
      </c>
      <c r="BB20">
        <v>7.8313253012048195E-2</v>
      </c>
      <c r="BC20">
        <v>6.1583577712609971E-2</v>
      </c>
      <c r="BD20">
        <v>0.1069364161849711</v>
      </c>
      <c r="BE20">
        <v>7.9234683968850361E-2</v>
      </c>
      <c r="BF20">
        <v>6.7882336240646352E-2</v>
      </c>
      <c r="BG20">
        <v>7.8672344309850942E-2</v>
      </c>
      <c r="BH20">
        <v>8.632584780320611E-2</v>
      </c>
      <c r="BI20">
        <v>7.6720761486802583E-2</v>
      </c>
      <c r="BJ20">
        <v>6.8752429662923512E-2</v>
      </c>
      <c r="BK20">
        <v>5.1110666560072383E-2</v>
      </c>
      <c r="BL20">
        <v>3.9058095589249331E-2</v>
      </c>
      <c r="BM20">
        <v>5.8558583546750254E-2</v>
      </c>
      <c r="BN20">
        <v>6.3186113095293248E-2</v>
      </c>
      <c r="BO20">
        <v>6.9886149543177303E-2</v>
      </c>
      <c r="BP20">
        <v>4.374810871878497E-2</v>
      </c>
      <c r="BQ20">
        <v>7.907889090491016E-2</v>
      </c>
      <c r="BR20">
        <v>0.10538712243851858</v>
      </c>
      <c r="BS20">
        <v>7.686307029081306E-2</v>
      </c>
      <c r="BT20">
        <v>4.9484536082474224E-2</v>
      </c>
      <c r="BU20">
        <v>5.6862745098039215E-2</v>
      </c>
      <c r="BV20">
        <v>5.5913978494623658E-2</v>
      </c>
      <c r="BW20">
        <v>4.1176470588235294E-2</v>
      </c>
      <c r="BX20">
        <v>5.0515463917525774E-2</v>
      </c>
      <c r="BY20">
        <v>5.1818181818181819E-2</v>
      </c>
      <c r="BZ20">
        <v>6.3725490196078427E-2</v>
      </c>
      <c r="CA20">
        <v>4.8371174728529122E-2</v>
      </c>
      <c r="CB20">
        <v>4.6666666666666669E-2</v>
      </c>
      <c r="CC20">
        <v>3.0235162374020158E-2</v>
      </c>
      <c r="CD20">
        <v>3.8209606986899562E-2</v>
      </c>
      <c r="CE20">
        <v>0.04</v>
      </c>
      <c r="CF20">
        <v>2.5179856115107913E-2</v>
      </c>
      <c r="CG20">
        <v>3.2359081419624215E-2</v>
      </c>
      <c r="CH20">
        <v>3.3333333333333333E-2</v>
      </c>
      <c r="CI20">
        <v>2.6315789473684209E-2</v>
      </c>
      <c r="CJ20">
        <v>3.4090909090909088E-2</v>
      </c>
      <c r="CK20">
        <v>2.1634615384615384E-2</v>
      </c>
      <c r="CL20">
        <v>1.6355140186915886E-2</v>
      </c>
      <c r="CM20">
        <v>1.3274336283185841E-2</v>
      </c>
      <c r="CN20">
        <v>1.9428571428571427E-2</v>
      </c>
      <c r="CO20">
        <v>1.5670910871694418E-2</v>
      </c>
      <c r="CP20">
        <v>1.4176663031624863E-2</v>
      </c>
      <c r="CQ20">
        <v>2.1890547263681594E-2</v>
      </c>
      <c r="CR20">
        <v>2.5667351129363448E-2</v>
      </c>
      <c r="CS20">
        <v>1.6359918200408999E-2</v>
      </c>
      <c r="CT20">
        <v>1.6359918200408999E-2</v>
      </c>
      <c r="CU20">
        <v>1.3118062563067608E-2</v>
      </c>
      <c r="CV20">
        <v>1.3348164627363738E-2</v>
      </c>
      <c r="CW20">
        <v>1.6166281755196306E-2</v>
      </c>
      <c r="CX20">
        <v>1.5276145710928319E-2</v>
      </c>
      <c r="CY20">
        <v>2.056555269922879E-2</v>
      </c>
      <c r="CZ20">
        <v>1.7879948914431672E-2</v>
      </c>
      <c r="DA20">
        <v>2.0718232044198894E-2</v>
      </c>
      <c r="DB20">
        <v>1.6506189821182942E-2</v>
      </c>
      <c r="DC20">
        <v>1.6320474777448073E-2</v>
      </c>
      <c r="DD20">
        <v>2.8286189683860232E-2</v>
      </c>
      <c r="DE20">
        <v>9.3603744149765994E-3</v>
      </c>
      <c r="DF20">
        <v>1.386748844375963E-2</v>
      </c>
      <c r="DG20">
        <v>5.9084194977843431E-3</v>
      </c>
      <c r="DH20">
        <v>4.5045045045045045E-3</v>
      </c>
      <c r="DI20">
        <v>4.3541364296081275E-3</v>
      </c>
      <c r="DJ20">
        <v>7.1839080459770114E-3</v>
      </c>
      <c r="DK20">
        <v>1.2195121951219513E-2</v>
      </c>
      <c r="DL20">
        <v>9.5238095238095247E-3</v>
      </c>
      <c r="DM20">
        <v>7.8864353312302835E-3</v>
      </c>
      <c r="DN20">
        <v>6.5573770491803279E-3</v>
      </c>
      <c r="DO20">
        <v>5.2539404553415062E-3</v>
      </c>
      <c r="DP20">
        <v>1.4134275618374558E-2</v>
      </c>
      <c r="DQ20">
        <v>2.012072434607646E-3</v>
      </c>
      <c r="DR20">
        <v>7.677543186180422E-3</v>
      </c>
      <c r="DS20">
        <v>1.020408163265306E-2</v>
      </c>
    </row>
    <row r="43" spans="2:125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</row>
    <row r="44" spans="2:125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</row>
    <row r="45" spans="2:125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</row>
    <row r="46" spans="2:125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</row>
    <row r="47" spans="2:125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</row>
    <row r="48" spans="2:125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</row>
    <row r="49" spans="2:125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</row>
    <row r="50" spans="2:125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</row>
    <row r="51" spans="2:125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</row>
    <row r="52" spans="2:125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</row>
    <row r="53" spans="2:125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</row>
    <row r="54" spans="2:125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</row>
    <row r="55" spans="2:125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</row>
    <row r="56" spans="2:125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</row>
    <row r="57" spans="2:125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</row>
    <row r="58" spans="2:125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</row>
    <row r="59" spans="2:125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</row>
    <row r="60" spans="2:125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</row>
    <row r="61" spans="2:125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baseColWidth="10" defaultRowHeight="14.5" x14ac:dyDescent="0.35"/>
  <cols>
    <col min="2" max="2" width="66.36328125" customWidth="1"/>
  </cols>
  <sheetData>
    <row r="1" spans="1:2" x14ac:dyDescent="0.35">
      <c r="A1" s="11" t="s">
        <v>42</v>
      </c>
      <c r="B1" s="12" t="s">
        <v>48</v>
      </c>
    </row>
    <row r="2" spans="1:2" ht="32" customHeight="1" x14ac:dyDescent="0.35">
      <c r="A2" s="13" t="s">
        <v>43</v>
      </c>
      <c r="B2" s="14"/>
    </row>
    <row r="3" spans="1:2" x14ac:dyDescent="0.35">
      <c r="A3" s="13" t="s">
        <v>44</v>
      </c>
      <c r="B3" s="14" t="s">
        <v>45</v>
      </c>
    </row>
    <row r="4" spans="1:2" x14ac:dyDescent="0.35">
      <c r="A4" s="13" t="s">
        <v>46</v>
      </c>
      <c r="B4" s="14"/>
    </row>
    <row r="5" spans="1:2" ht="54" customHeight="1" thickBot="1" x14ac:dyDescent="0.4">
      <c r="A5" s="15" t="s">
        <v>47</v>
      </c>
      <c r="B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71"/>
  <sheetViews>
    <sheetView topLeftCell="A28" workbookViewId="0">
      <selection activeCell="F62" sqref="F62"/>
    </sheetView>
  </sheetViews>
  <sheetFormatPr baseColWidth="10" defaultRowHeight="14.5" x14ac:dyDescent="0.35"/>
  <cols>
    <col min="45" max="45" width="12.1796875" customWidth="1"/>
    <col min="47" max="51" width="6.54296875" customWidth="1"/>
    <col min="52" max="52" width="13.26953125" bestFit="1" customWidth="1"/>
    <col min="53" max="53" width="9" customWidth="1"/>
    <col min="54" max="54" width="9.1796875" customWidth="1"/>
    <col min="55" max="56" width="13.26953125" bestFit="1" customWidth="1"/>
    <col min="57" max="57" width="6.26953125" customWidth="1"/>
    <col min="58" max="60" width="6.54296875" customWidth="1"/>
    <col min="61" max="61" width="7.7265625" customWidth="1"/>
    <col min="62" max="62" width="7.1796875" customWidth="1"/>
    <col min="63" max="64" width="7.26953125" customWidth="1"/>
    <col min="65" max="65" width="7.7265625" customWidth="1"/>
    <col min="66" max="66" width="8.54296875" customWidth="1"/>
    <col min="67" max="67" width="8.7265625" customWidth="1"/>
    <col min="68" max="68" width="7.453125" customWidth="1"/>
    <col min="69" max="70" width="7.7265625" customWidth="1"/>
    <col min="91" max="91" width="12.7265625" customWidth="1"/>
  </cols>
  <sheetData>
    <row r="1" spans="1:123" x14ac:dyDescent="0.35">
      <c r="AL1" t="s">
        <v>21</v>
      </c>
      <c r="AS1" t="s">
        <v>22</v>
      </c>
      <c r="AU1" t="s">
        <v>22</v>
      </c>
      <c r="AV1" t="s">
        <v>22</v>
      </c>
      <c r="AW1" t="s">
        <v>22</v>
      </c>
      <c r="AX1" t="s">
        <v>22</v>
      </c>
      <c r="AY1" t="s">
        <v>22</v>
      </c>
      <c r="AZ1" t="s">
        <v>23</v>
      </c>
      <c r="BA1" t="s">
        <v>23</v>
      </c>
      <c r="BB1" t="s">
        <v>24</v>
      </c>
      <c r="BC1" t="s">
        <v>24</v>
      </c>
      <c r="BD1" t="s">
        <v>24</v>
      </c>
      <c r="BE1" t="s">
        <v>24</v>
      </c>
      <c r="BF1" t="s">
        <v>25</v>
      </c>
      <c r="BG1" t="s">
        <v>25</v>
      </c>
      <c r="BH1" t="s">
        <v>25</v>
      </c>
      <c r="BI1" t="s">
        <v>25</v>
      </c>
      <c r="BJ1" t="s">
        <v>25</v>
      </c>
      <c r="BK1" t="s">
        <v>25</v>
      </c>
      <c r="BL1" t="s">
        <v>25</v>
      </c>
      <c r="BM1" t="s">
        <v>25</v>
      </c>
      <c r="BN1" t="s">
        <v>25</v>
      </c>
      <c r="BO1" t="s">
        <v>25</v>
      </c>
      <c r="BP1" t="s">
        <v>25</v>
      </c>
      <c r="BQ1" t="s">
        <v>25</v>
      </c>
      <c r="BR1" t="s">
        <v>25</v>
      </c>
      <c r="BT1" t="s">
        <v>25</v>
      </c>
      <c r="BU1" t="s">
        <v>25</v>
      </c>
      <c r="BV1" t="s">
        <v>25</v>
      </c>
      <c r="BW1" t="s">
        <v>25</v>
      </c>
      <c r="BX1" t="s">
        <v>25</v>
      </c>
      <c r="BY1" t="s">
        <v>25</v>
      </c>
      <c r="BZ1" t="s">
        <v>25</v>
      </c>
      <c r="CA1" t="s">
        <v>25</v>
      </c>
      <c r="CB1" t="s">
        <v>25</v>
      </c>
      <c r="CC1" t="s">
        <v>25</v>
      </c>
      <c r="CD1" t="s">
        <v>25</v>
      </c>
      <c r="CE1" t="s">
        <v>25</v>
      </c>
      <c r="CF1" t="s">
        <v>25</v>
      </c>
      <c r="CG1" t="s">
        <v>25</v>
      </c>
      <c r="CH1" t="s">
        <v>25</v>
      </c>
      <c r="CI1" t="s">
        <v>25</v>
      </c>
      <c r="CJ1" t="s">
        <v>25</v>
      </c>
      <c r="CK1" t="s">
        <v>25</v>
      </c>
      <c r="CL1" t="s">
        <v>26</v>
      </c>
      <c r="CM1" t="s">
        <v>26</v>
      </c>
      <c r="CN1" t="s">
        <v>26</v>
      </c>
    </row>
    <row r="2" spans="1:123" x14ac:dyDescent="0.35">
      <c r="A2" t="s">
        <v>27</v>
      </c>
      <c r="B2">
        <v>1900</v>
      </c>
      <c r="C2">
        <v>1901</v>
      </c>
      <c r="D2">
        <v>1902</v>
      </c>
      <c r="E2">
        <v>1903</v>
      </c>
      <c r="F2">
        <v>1904</v>
      </c>
      <c r="G2">
        <v>1905</v>
      </c>
      <c r="H2">
        <v>1906</v>
      </c>
      <c r="I2">
        <v>1907</v>
      </c>
      <c r="J2">
        <v>1908</v>
      </c>
      <c r="K2">
        <v>1909</v>
      </c>
      <c r="L2">
        <v>1910</v>
      </c>
      <c r="M2">
        <v>1911</v>
      </c>
      <c r="N2">
        <v>1912</v>
      </c>
      <c r="O2">
        <v>1913</v>
      </c>
      <c r="P2">
        <v>1914</v>
      </c>
      <c r="Q2">
        <v>1915</v>
      </c>
      <c r="R2">
        <v>1916</v>
      </c>
      <c r="S2">
        <v>1917</v>
      </c>
      <c r="T2">
        <v>1918</v>
      </c>
      <c r="U2">
        <v>1919</v>
      </c>
      <c r="V2">
        <v>1920</v>
      </c>
      <c r="W2">
        <v>1921</v>
      </c>
      <c r="X2">
        <v>1922</v>
      </c>
      <c r="Y2">
        <v>1923</v>
      </c>
      <c r="Z2">
        <v>1924</v>
      </c>
      <c r="AA2">
        <v>1925</v>
      </c>
      <c r="AB2">
        <v>1926</v>
      </c>
      <c r="AC2">
        <v>1927</v>
      </c>
      <c r="AD2">
        <v>1928</v>
      </c>
      <c r="AE2">
        <v>1929</v>
      </c>
      <c r="AF2">
        <v>1930</v>
      </c>
      <c r="AG2">
        <v>1931</v>
      </c>
      <c r="AH2">
        <v>1932</v>
      </c>
      <c r="AI2">
        <v>1933</v>
      </c>
      <c r="AJ2">
        <v>1934</v>
      </c>
      <c r="AK2">
        <v>1935</v>
      </c>
      <c r="AL2">
        <v>1936</v>
      </c>
      <c r="AM2">
        <v>1937</v>
      </c>
      <c r="AN2">
        <v>1938</v>
      </c>
      <c r="AO2">
        <v>1939</v>
      </c>
      <c r="AP2">
        <v>1940</v>
      </c>
      <c r="AQ2">
        <v>1941</v>
      </c>
      <c r="AR2">
        <v>1942</v>
      </c>
      <c r="AS2">
        <v>1943</v>
      </c>
      <c r="AT2">
        <v>1944</v>
      </c>
      <c r="AU2">
        <v>1945</v>
      </c>
      <c r="AV2">
        <v>1946</v>
      </c>
      <c r="AW2">
        <v>1947</v>
      </c>
      <c r="AX2">
        <v>1948</v>
      </c>
      <c r="AY2">
        <v>1949</v>
      </c>
      <c r="AZ2">
        <v>1950</v>
      </c>
      <c r="BA2">
        <v>1951</v>
      </c>
      <c r="BB2">
        <v>1952</v>
      </c>
      <c r="BC2">
        <v>1953</v>
      </c>
      <c r="BD2">
        <v>1954</v>
      </c>
      <c r="BE2">
        <v>1955</v>
      </c>
      <c r="BF2">
        <v>1956</v>
      </c>
      <c r="BG2">
        <v>1957</v>
      </c>
      <c r="BH2">
        <v>1958</v>
      </c>
      <c r="BI2">
        <v>1959</v>
      </c>
      <c r="BJ2">
        <v>1960</v>
      </c>
      <c r="BK2">
        <v>1961</v>
      </c>
      <c r="BL2">
        <v>1962</v>
      </c>
      <c r="BM2">
        <v>1963</v>
      </c>
      <c r="BN2">
        <v>1964</v>
      </c>
      <c r="BO2">
        <v>1965</v>
      </c>
      <c r="BP2">
        <v>1966</v>
      </c>
      <c r="BQ2">
        <v>1967</v>
      </c>
      <c r="BR2">
        <v>1968</v>
      </c>
      <c r="BS2">
        <v>1969</v>
      </c>
      <c r="BT2">
        <v>1970</v>
      </c>
      <c r="BU2">
        <v>1971</v>
      </c>
      <c r="BV2">
        <v>1972</v>
      </c>
      <c r="BW2">
        <v>1973</v>
      </c>
      <c r="BX2">
        <v>1974</v>
      </c>
      <c r="BY2">
        <v>1975</v>
      </c>
      <c r="BZ2">
        <v>1976</v>
      </c>
      <c r="CA2">
        <v>1977</v>
      </c>
      <c r="CB2">
        <v>1978</v>
      </c>
      <c r="CC2">
        <v>1979</v>
      </c>
      <c r="CD2">
        <v>1980</v>
      </c>
      <c r="CE2">
        <v>1981</v>
      </c>
      <c r="CF2">
        <v>1982</v>
      </c>
      <c r="CG2">
        <v>1983</v>
      </c>
      <c r="CH2">
        <v>1984</v>
      </c>
      <c r="CI2">
        <v>1985</v>
      </c>
      <c r="CJ2">
        <v>1986</v>
      </c>
      <c r="CK2">
        <v>1987</v>
      </c>
      <c r="CL2">
        <v>1988</v>
      </c>
      <c r="CM2">
        <v>1989</v>
      </c>
      <c r="CN2">
        <v>1990</v>
      </c>
      <c r="CO2">
        <v>1991</v>
      </c>
      <c r="CP2">
        <v>1992</v>
      </c>
      <c r="CQ2">
        <v>1993</v>
      </c>
      <c r="CR2">
        <v>1994</v>
      </c>
      <c r="CS2">
        <v>1995</v>
      </c>
      <c r="CT2">
        <v>1996</v>
      </c>
      <c r="CU2">
        <v>1997</v>
      </c>
      <c r="CV2">
        <v>1998</v>
      </c>
      <c r="CW2">
        <v>1999</v>
      </c>
      <c r="CX2">
        <v>2000</v>
      </c>
      <c r="CY2">
        <v>2001</v>
      </c>
      <c r="CZ2">
        <v>2002</v>
      </c>
      <c r="DA2">
        <v>2003</v>
      </c>
      <c r="DB2">
        <v>2004</v>
      </c>
      <c r="DC2">
        <v>2005</v>
      </c>
      <c r="DD2">
        <v>2006</v>
      </c>
      <c r="DE2">
        <v>2007</v>
      </c>
      <c r="DF2">
        <v>2008</v>
      </c>
      <c r="DG2">
        <v>2009</v>
      </c>
      <c r="DH2">
        <v>2010</v>
      </c>
      <c r="DI2">
        <v>2011</v>
      </c>
      <c r="DJ2">
        <v>2012</v>
      </c>
      <c r="DK2">
        <v>2013</v>
      </c>
      <c r="DL2">
        <v>2014</v>
      </c>
      <c r="DM2">
        <v>2015</v>
      </c>
      <c r="DN2">
        <v>2016</v>
      </c>
      <c r="DO2">
        <v>2017</v>
      </c>
      <c r="DP2">
        <v>2018</v>
      </c>
      <c r="DQ2">
        <v>2019</v>
      </c>
      <c r="DR2">
        <v>2020</v>
      </c>
      <c r="DS2">
        <v>2021</v>
      </c>
    </row>
    <row r="3" spans="1:123" x14ac:dyDescent="0.35">
      <c r="A3" t="s">
        <v>28</v>
      </c>
      <c r="AZ3">
        <v>0</v>
      </c>
      <c r="BA3">
        <v>0</v>
      </c>
      <c r="BB3">
        <v>91</v>
      </c>
      <c r="BC3">
        <v>179</v>
      </c>
      <c r="BD3">
        <v>288</v>
      </c>
    </row>
    <row r="4" spans="1:123" x14ac:dyDescent="0.35">
      <c r="A4" t="s">
        <v>2</v>
      </c>
      <c r="B4">
        <v>850</v>
      </c>
      <c r="C4">
        <v>963</v>
      </c>
      <c r="D4">
        <v>931</v>
      </c>
      <c r="E4">
        <v>965</v>
      </c>
      <c r="F4" s="2">
        <f>+(E4+G4)/2</f>
        <v>855.5</v>
      </c>
      <c r="G4">
        <v>746</v>
      </c>
      <c r="H4" s="2">
        <f>+(G4+I4)/2</f>
        <v>816.5</v>
      </c>
      <c r="I4">
        <v>887</v>
      </c>
      <c r="J4">
        <v>863</v>
      </c>
      <c r="K4" s="2">
        <f>+(J4+L4)/2</f>
        <v>1031</v>
      </c>
      <c r="L4">
        <v>1199</v>
      </c>
      <c r="M4">
        <v>1146</v>
      </c>
      <c r="N4">
        <v>1385</v>
      </c>
      <c r="O4">
        <v>1219</v>
      </c>
      <c r="P4">
        <v>1106</v>
      </c>
      <c r="Q4">
        <v>1412</v>
      </c>
      <c r="R4">
        <v>1040</v>
      </c>
      <c r="S4">
        <v>993</v>
      </c>
      <c r="T4">
        <v>1110</v>
      </c>
      <c r="U4">
        <v>1185</v>
      </c>
      <c r="V4">
        <v>1430</v>
      </c>
      <c r="W4">
        <v>1063</v>
      </c>
      <c r="X4">
        <v>1258</v>
      </c>
      <c r="Y4">
        <v>1326</v>
      </c>
      <c r="Z4">
        <v>1540</v>
      </c>
      <c r="AA4">
        <v>1364</v>
      </c>
      <c r="AB4">
        <v>1417</v>
      </c>
      <c r="AC4">
        <v>1631</v>
      </c>
      <c r="AD4">
        <v>1386</v>
      </c>
      <c r="AE4">
        <v>1327</v>
      </c>
      <c r="AF4">
        <v>1627</v>
      </c>
      <c r="AG4">
        <f>84+72+8+2+49+38+4+7+297+245+332+254+2+1+6+1+1+6+15+103+99+11+8+113+87</f>
        <v>1845</v>
      </c>
      <c r="AH4">
        <f>64+52+1+2+56+40+5+4+215+189+273+231+6+2+3+4+1+9+8+109+101+5+1+107+87</f>
        <v>1575</v>
      </c>
      <c r="AI4">
        <f>63+54+5+3+72+43+6+8+165+141+154+148+6+3+2+7+8+112+95+6+3+77+67</f>
        <v>1248</v>
      </c>
      <c r="AJ4">
        <v>1198</v>
      </c>
      <c r="AK4">
        <v>1329</v>
      </c>
      <c r="AL4">
        <v>1121</v>
      </c>
      <c r="AM4">
        <v>1255</v>
      </c>
      <c r="AN4">
        <v>1371</v>
      </c>
      <c r="AO4">
        <v>1140</v>
      </c>
      <c r="AP4">
        <v>1251</v>
      </c>
      <c r="AQ4">
        <v>1174</v>
      </c>
      <c r="AR4">
        <v>1266</v>
      </c>
      <c r="AS4">
        <v>1039</v>
      </c>
      <c r="AT4">
        <v>990</v>
      </c>
      <c r="AU4">
        <v>836</v>
      </c>
      <c r="AV4">
        <v>824</v>
      </c>
      <c r="AW4">
        <v>1027</v>
      </c>
      <c r="AX4">
        <v>923</v>
      </c>
      <c r="AY4">
        <v>824</v>
      </c>
      <c r="AZ4" s="3">
        <v>1057</v>
      </c>
      <c r="BA4" s="3">
        <v>808</v>
      </c>
      <c r="BB4" s="3">
        <v>735</v>
      </c>
      <c r="BC4" s="3">
        <v>615</v>
      </c>
      <c r="BD4" s="3">
        <v>661</v>
      </c>
      <c r="BE4">
        <v>566</v>
      </c>
      <c r="BF4">
        <v>531</v>
      </c>
      <c r="BG4">
        <v>663</v>
      </c>
      <c r="BH4">
        <v>864</v>
      </c>
      <c r="BI4">
        <v>933</v>
      </c>
      <c r="BJ4">
        <v>824</v>
      </c>
      <c r="BK4">
        <v>795</v>
      </c>
      <c r="BL4">
        <v>842</v>
      </c>
      <c r="BM4">
        <v>921</v>
      </c>
      <c r="BN4" s="4">
        <v>1032</v>
      </c>
      <c r="BO4" s="4">
        <v>1052</v>
      </c>
      <c r="BP4">
        <v>885</v>
      </c>
      <c r="BQ4">
        <v>1088</v>
      </c>
      <c r="BR4">
        <v>1221</v>
      </c>
      <c r="BS4" s="2">
        <f t="shared" ref="BS4:BS22" si="0">+(BR4+BT4)/2</f>
        <v>1155.5</v>
      </c>
      <c r="BT4">
        <v>1090</v>
      </c>
      <c r="BU4">
        <v>1010</v>
      </c>
      <c r="BV4">
        <v>1028</v>
      </c>
      <c r="BW4">
        <v>957</v>
      </c>
      <c r="BX4">
        <v>1045</v>
      </c>
      <c r="BY4">
        <v>1111</v>
      </c>
      <c r="BZ4">
        <v>1026</v>
      </c>
      <c r="CA4">
        <v>1205</v>
      </c>
      <c r="CB4">
        <v>1058</v>
      </c>
      <c r="CC4">
        <v>849</v>
      </c>
      <c r="CD4">
        <v>816</v>
      </c>
      <c r="CE4">
        <v>728</v>
      </c>
      <c r="CF4">
        <v>672</v>
      </c>
      <c r="CG4">
        <v>580</v>
      </c>
      <c r="CH4">
        <v>702</v>
      </c>
      <c r="CI4">
        <v>642</v>
      </c>
      <c r="CJ4">
        <v>606</v>
      </c>
      <c r="CK4">
        <v>536</v>
      </c>
      <c r="CL4">
        <v>483</v>
      </c>
      <c r="CM4">
        <v>477</v>
      </c>
      <c r="CN4">
        <v>472</v>
      </c>
      <c r="CO4">
        <v>463</v>
      </c>
      <c r="CP4">
        <v>417</v>
      </c>
      <c r="CQ4">
        <v>450</v>
      </c>
      <c r="CR4">
        <v>417</v>
      </c>
      <c r="CS4">
        <v>434</v>
      </c>
      <c r="CT4">
        <v>377</v>
      </c>
      <c r="CU4">
        <v>384</v>
      </c>
      <c r="CV4">
        <v>356</v>
      </c>
      <c r="CW4">
        <v>305</v>
      </c>
      <c r="CX4">
        <v>288</v>
      </c>
      <c r="CY4">
        <v>301</v>
      </c>
      <c r="CZ4">
        <v>251</v>
      </c>
      <c r="DA4">
        <v>287</v>
      </c>
      <c r="DB4">
        <v>251</v>
      </c>
      <c r="DC4">
        <v>228</v>
      </c>
      <c r="DD4">
        <v>201</v>
      </c>
      <c r="DE4">
        <v>232</v>
      </c>
      <c r="DF4">
        <v>188</v>
      </c>
      <c r="DG4">
        <v>175</v>
      </c>
      <c r="DH4">
        <v>146</v>
      </c>
      <c r="DI4">
        <v>155</v>
      </c>
      <c r="DJ4">
        <v>120</v>
      </c>
      <c r="DK4">
        <v>166</v>
      </c>
      <c r="DL4">
        <v>144</v>
      </c>
      <c r="DM4">
        <v>147</v>
      </c>
      <c r="DN4">
        <v>142</v>
      </c>
      <c r="DO4">
        <v>121</v>
      </c>
      <c r="DP4">
        <v>106</v>
      </c>
      <c r="DQ4">
        <v>101</v>
      </c>
      <c r="DR4">
        <v>88</v>
      </c>
      <c r="DS4">
        <v>77</v>
      </c>
    </row>
    <row r="5" spans="1:123" x14ac:dyDescent="0.35">
      <c r="A5" t="s">
        <v>3</v>
      </c>
      <c r="B5">
        <v>111</v>
      </c>
      <c r="C5">
        <v>117</v>
      </c>
      <c r="D5">
        <v>170</v>
      </c>
      <c r="E5">
        <v>120</v>
      </c>
      <c r="F5" s="2">
        <f t="shared" ref="F5:H22" si="1">+(E5+G5)/2</f>
        <v>104.5</v>
      </c>
      <c r="G5">
        <v>89</v>
      </c>
      <c r="H5" s="2">
        <f t="shared" si="1"/>
        <v>117.5</v>
      </c>
      <c r="I5">
        <v>146</v>
      </c>
      <c r="J5">
        <v>135</v>
      </c>
      <c r="K5" s="2">
        <f t="shared" ref="K5:K22" si="2">+(J5+L5)/2</f>
        <v>144.5</v>
      </c>
      <c r="L5">
        <v>154</v>
      </c>
      <c r="M5">
        <v>166</v>
      </c>
      <c r="N5">
        <v>148</v>
      </c>
      <c r="O5">
        <v>145</v>
      </c>
      <c r="P5">
        <v>146</v>
      </c>
      <c r="Q5">
        <v>158</v>
      </c>
      <c r="R5">
        <v>206</v>
      </c>
      <c r="S5">
        <v>151</v>
      </c>
      <c r="T5">
        <v>177</v>
      </c>
      <c r="U5">
        <v>103</v>
      </c>
      <c r="V5">
        <v>127</v>
      </c>
      <c r="W5">
        <v>151</v>
      </c>
      <c r="X5">
        <v>131</v>
      </c>
      <c r="Y5">
        <v>154</v>
      </c>
      <c r="Z5">
        <v>183</v>
      </c>
      <c r="AA5">
        <v>190</v>
      </c>
      <c r="AB5">
        <v>144</v>
      </c>
      <c r="AC5">
        <v>203</v>
      </c>
      <c r="AD5">
        <v>162</v>
      </c>
      <c r="AE5">
        <v>128</v>
      </c>
      <c r="AF5">
        <v>148</v>
      </c>
      <c r="AG5">
        <f>6+6+1+2+8+2+17+20+1+1+1+50+41</f>
        <v>156</v>
      </c>
      <c r="AH5">
        <f>15+10+4+4+2+6+14+22+5+2+58+41</f>
        <v>183</v>
      </c>
      <c r="AI5">
        <f>6+9+11+2+1+5+19+11+1+2+4+1+52+43</f>
        <v>167</v>
      </c>
      <c r="AJ5">
        <v>161</v>
      </c>
      <c r="AK5">
        <v>149</v>
      </c>
      <c r="AL5">
        <v>157</v>
      </c>
      <c r="AM5">
        <v>181</v>
      </c>
      <c r="AN5">
        <v>145</v>
      </c>
      <c r="AO5">
        <v>137</v>
      </c>
      <c r="AP5">
        <v>156</v>
      </c>
      <c r="AQ5">
        <v>161</v>
      </c>
      <c r="AR5">
        <v>152</v>
      </c>
      <c r="AS5">
        <v>187</v>
      </c>
      <c r="AT5">
        <v>140</v>
      </c>
      <c r="AU5">
        <v>129</v>
      </c>
      <c r="AV5">
        <v>72</v>
      </c>
      <c r="AW5">
        <v>105</v>
      </c>
      <c r="AX5">
        <v>98</v>
      </c>
      <c r="AY5">
        <v>86</v>
      </c>
      <c r="AZ5" s="3">
        <v>142</v>
      </c>
      <c r="BA5" s="3">
        <v>123</v>
      </c>
      <c r="BB5" s="3">
        <v>122</v>
      </c>
      <c r="BC5" s="3">
        <v>112</v>
      </c>
      <c r="BD5" s="3">
        <v>74</v>
      </c>
      <c r="BE5">
        <v>128</v>
      </c>
      <c r="BF5">
        <v>95</v>
      </c>
      <c r="BG5">
        <v>142</v>
      </c>
      <c r="BH5">
        <v>124</v>
      </c>
      <c r="BI5">
        <v>107</v>
      </c>
      <c r="BJ5">
        <v>120</v>
      </c>
      <c r="BK5">
        <v>91</v>
      </c>
      <c r="BL5">
        <v>91</v>
      </c>
      <c r="BM5">
        <v>108</v>
      </c>
      <c r="BN5" s="4">
        <v>77</v>
      </c>
      <c r="BO5" s="4">
        <v>120</v>
      </c>
      <c r="BP5">
        <v>107</v>
      </c>
      <c r="BQ5">
        <v>114</v>
      </c>
      <c r="BR5">
        <v>132</v>
      </c>
      <c r="BS5" s="2">
        <f t="shared" si="0"/>
        <v>101.5</v>
      </c>
      <c r="BT5">
        <v>71</v>
      </c>
      <c r="BU5">
        <v>78</v>
      </c>
      <c r="BV5">
        <v>94</v>
      </c>
      <c r="BW5">
        <v>77</v>
      </c>
      <c r="BX5">
        <v>93</v>
      </c>
      <c r="BY5">
        <v>70</v>
      </c>
      <c r="BZ5">
        <v>75</v>
      </c>
      <c r="CA5">
        <v>65</v>
      </c>
      <c r="CB5">
        <v>60</v>
      </c>
      <c r="CC5">
        <v>50</v>
      </c>
      <c r="CD5">
        <v>47</v>
      </c>
      <c r="CE5">
        <v>52</v>
      </c>
      <c r="CF5">
        <v>51</v>
      </c>
      <c r="CG5">
        <v>61</v>
      </c>
      <c r="CH5">
        <v>48</v>
      </c>
      <c r="CI5">
        <v>51</v>
      </c>
      <c r="CJ5">
        <v>36</v>
      </c>
      <c r="CK5">
        <v>42</v>
      </c>
      <c r="CL5">
        <v>40</v>
      </c>
      <c r="CM5">
        <v>39</v>
      </c>
      <c r="CN5">
        <v>34</v>
      </c>
      <c r="CO5">
        <v>43</v>
      </c>
      <c r="CP5">
        <v>38</v>
      </c>
      <c r="CQ5">
        <v>30</v>
      </c>
      <c r="CR5">
        <v>36</v>
      </c>
      <c r="CS5">
        <v>33</v>
      </c>
      <c r="CT5">
        <v>43</v>
      </c>
      <c r="CU5">
        <v>43</v>
      </c>
      <c r="CV5">
        <v>29</v>
      </c>
      <c r="CW5">
        <v>25</v>
      </c>
      <c r="CX5">
        <v>26</v>
      </c>
      <c r="CY5">
        <v>16</v>
      </c>
      <c r="CZ5">
        <v>19</v>
      </c>
      <c r="DA5">
        <v>40</v>
      </c>
      <c r="DB5">
        <v>20</v>
      </c>
      <c r="DC5">
        <v>15</v>
      </c>
      <c r="DD5">
        <v>14</v>
      </c>
      <c r="DE5">
        <v>13</v>
      </c>
      <c r="DF5">
        <v>16</v>
      </c>
      <c r="DG5">
        <v>8</v>
      </c>
      <c r="DH5">
        <v>8</v>
      </c>
      <c r="DI5">
        <v>14</v>
      </c>
      <c r="DJ5">
        <v>15</v>
      </c>
      <c r="DK5">
        <v>10</v>
      </c>
      <c r="DL5">
        <v>10</v>
      </c>
      <c r="DM5">
        <v>12</v>
      </c>
      <c r="DN5">
        <v>11</v>
      </c>
      <c r="DO5">
        <v>6</v>
      </c>
      <c r="DP5">
        <v>6</v>
      </c>
      <c r="DQ5">
        <v>7</v>
      </c>
      <c r="DR5">
        <v>5</v>
      </c>
      <c r="DS5">
        <v>8</v>
      </c>
    </row>
    <row r="6" spans="1:123" s="5" customFormat="1" x14ac:dyDescent="0.35">
      <c r="A6" s="5" t="s">
        <v>4</v>
      </c>
      <c r="B6" s="5">
        <v>274</v>
      </c>
      <c r="C6" s="5">
        <v>240</v>
      </c>
      <c r="D6" s="5">
        <v>248</v>
      </c>
      <c r="E6" s="5">
        <v>254</v>
      </c>
      <c r="F6" s="5">
        <f t="shared" si="1"/>
        <v>205</v>
      </c>
      <c r="G6" s="5">
        <v>156</v>
      </c>
      <c r="H6" s="5">
        <f t="shared" si="1"/>
        <v>223</v>
      </c>
      <c r="I6" s="5">
        <v>290</v>
      </c>
      <c r="J6" s="5">
        <v>243</v>
      </c>
      <c r="K6" s="5">
        <f t="shared" si="2"/>
        <v>257</v>
      </c>
      <c r="L6" s="5">
        <v>271</v>
      </c>
      <c r="M6" s="5">
        <v>255</v>
      </c>
      <c r="N6" s="5">
        <v>312</v>
      </c>
      <c r="O6" s="5">
        <v>238</v>
      </c>
      <c r="P6" s="5">
        <v>190</v>
      </c>
      <c r="Q6" s="5">
        <v>267</v>
      </c>
      <c r="R6" s="5">
        <v>288</v>
      </c>
      <c r="S6" s="5">
        <v>246</v>
      </c>
      <c r="T6" s="5">
        <v>224</v>
      </c>
      <c r="U6" s="5">
        <v>233</v>
      </c>
      <c r="V6" s="5">
        <v>248</v>
      </c>
      <c r="W6" s="5">
        <v>297</v>
      </c>
      <c r="X6" s="5">
        <v>242</v>
      </c>
      <c r="Y6" s="5">
        <v>207</v>
      </c>
      <c r="Z6" s="5">
        <v>229</v>
      </c>
      <c r="AA6" s="5">
        <v>287</v>
      </c>
      <c r="AB6" s="5">
        <v>227</v>
      </c>
      <c r="AC6" s="5">
        <v>249</v>
      </c>
      <c r="AD6" s="5">
        <v>232</v>
      </c>
      <c r="AE6" s="5">
        <v>196</v>
      </c>
      <c r="AF6" s="5">
        <v>227</v>
      </c>
      <c r="AG6" s="5">
        <f>5+7+2+10+9+1+1+29+26+39+35+1+11+16+2+12+17</f>
        <v>223</v>
      </c>
      <c r="AH6" s="5">
        <f>6+7+1+1+7+4+11+12+43+43+2+1+18+14+3+22+12</f>
        <v>207</v>
      </c>
      <c r="AI6" s="5">
        <f>3+6+3+2+9+5+1+25+14+32+20+1+1+1+1+8+15+1+16+12</f>
        <v>176</v>
      </c>
      <c r="AJ6" s="5">
        <v>188</v>
      </c>
      <c r="AK6" s="5">
        <v>190</v>
      </c>
      <c r="AL6" s="5">
        <v>178</v>
      </c>
      <c r="AM6" s="5">
        <v>177</v>
      </c>
      <c r="AN6" s="5">
        <v>208</v>
      </c>
      <c r="AO6" s="5">
        <v>141</v>
      </c>
      <c r="AP6" s="5">
        <v>168</v>
      </c>
      <c r="AQ6" s="5">
        <v>156</v>
      </c>
      <c r="AR6" s="5">
        <v>189</v>
      </c>
      <c r="AS6" s="5">
        <v>171</v>
      </c>
      <c r="AT6" s="5">
        <v>134</v>
      </c>
      <c r="AU6" s="5">
        <v>126</v>
      </c>
      <c r="AV6" s="5">
        <v>94</v>
      </c>
      <c r="AW6" s="5">
        <v>104</v>
      </c>
      <c r="AX6" s="5">
        <v>98</v>
      </c>
      <c r="AY6" s="5">
        <v>93</v>
      </c>
      <c r="AZ6" s="3">
        <v>98</v>
      </c>
      <c r="BA6" s="3">
        <v>78</v>
      </c>
      <c r="BB6" s="3">
        <v>117</v>
      </c>
      <c r="BC6" s="3">
        <v>126</v>
      </c>
      <c r="BD6" s="3">
        <v>132</v>
      </c>
      <c r="BE6" s="5">
        <v>143</v>
      </c>
      <c r="BF6" s="5">
        <v>149</v>
      </c>
      <c r="BG6" s="5">
        <v>171</v>
      </c>
      <c r="BH6" s="5">
        <v>215</v>
      </c>
      <c r="BI6" s="5">
        <v>222</v>
      </c>
      <c r="BJ6" s="5">
        <v>218</v>
      </c>
      <c r="BK6" s="5">
        <v>170</v>
      </c>
      <c r="BL6" s="5">
        <v>203</v>
      </c>
      <c r="BM6" s="5">
        <v>233</v>
      </c>
      <c r="BN6" s="5">
        <v>210</v>
      </c>
      <c r="BO6" s="5">
        <v>235</v>
      </c>
      <c r="BP6" s="5">
        <v>245</v>
      </c>
      <c r="BQ6">
        <v>326</v>
      </c>
      <c r="BR6" s="5">
        <v>361</v>
      </c>
      <c r="BS6" s="5">
        <f t="shared" si="0"/>
        <v>330.5</v>
      </c>
      <c r="BT6" s="5">
        <v>300</v>
      </c>
      <c r="BU6" s="5">
        <v>292</v>
      </c>
      <c r="BV6" s="5">
        <v>314</v>
      </c>
      <c r="BW6" s="5">
        <v>285</v>
      </c>
      <c r="BX6" s="5">
        <v>271</v>
      </c>
      <c r="BY6" s="5">
        <v>340</v>
      </c>
      <c r="BZ6" s="5">
        <v>280</v>
      </c>
      <c r="CA6" s="5">
        <v>337</v>
      </c>
      <c r="CB6" s="5">
        <v>261</v>
      </c>
      <c r="CC6" s="5">
        <v>219</v>
      </c>
      <c r="CD6" s="5">
        <v>237</v>
      </c>
      <c r="CE6" s="5">
        <v>218</v>
      </c>
      <c r="CF6" s="5">
        <v>200</v>
      </c>
      <c r="CG6" s="5">
        <v>195</v>
      </c>
      <c r="CH6" s="5">
        <v>187</v>
      </c>
      <c r="CI6" s="5">
        <v>172</v>
      </c>
      <c r="CJ6" s="5">
        <v>180</v>
      </c>
      <c r="CK6" s="5">
        <v>159</v>
      </c>
      <c r="CL6" s="5">
        <v>141</v>
      </c>
      <c r="CM6" s="5">
        <v>144</v>
      </c>
      <c r="CN6" s="5">
        <v>137</v>
      </c>
      <c r="CO6" s="5">
        <v>147</v>
      </c>
      <c r="CP6" s="5">
        <v>135</v>
      </c>
      <c r="CQ6" s="5">
        <v>145</v>
      </c>
      <c r="CR6" s="5">
        <v>142</v>
      </c>
      <c r="CS6" s="5">
        <v>123</v>
      </c>
      <c r="CT6" s="5">
        <v>122</v>
      </c>
      <c r="CU6" s="5">
        <v>117</v>
      </c>
      <c r="CV6" s="5">
        <v>120</v>
      </c>
      <c r="CW6" s="5">
        <v>106</v>
      </c>
      <c r="CX6" s="5">
        <v>95</v>
      </c>
      <c r="CY6" s="5">
        <v>77</v>
      </c>
      <c r="CZ6" s="5">
        <v>108</v>
      </c>
      <c r="DA6" s="5">
        <v>106</v>
      </c>
      <c r="DB6" s="5">
        <v>86</v>
      </c>
      <c r="DC6" s="5">
        <v>90</v>
      </c>
      <c r="DD6" s="5">
        <v>68</v>
      </c>
      <c r="DE6" s="5">
        <v>100</v>
      </c>
      <c r="DF6" s="5">
        <v>81</v>
      </c>
      <c r="DG6" s="5">
        <v>60</v>
      </c>
      <c r="DH6" s="5">
        <v>40</v>
      </c>
      <c r="DI6" s="5">
        <v>59</v>
      </c>
      <c r="DJ6" s="5">
        <v>78</v>
      </c>
      <c r="DK6" s="5">
        <v>65</v>
      </c>
      <c r="DL6" s="5">
        <v>61</v>
      </c>
      <c r="DM6" s="5">
        <v>48</v>
      </c>
      <c r="DN6" s="5">
        <v>42</v>
      </c>
      <c r="DO6" s="5">
        <v>27</v>
      </c>
      <c r="DP6" s="5">
        <v>37</v>
      </c>
      <c r="DQ6" s="5">
        <v>32</v>
      </c>
      <c r="DR6" s="5">
        <v>41</v>
      </c>
      <c r="DS6" s="5">
        <v>31</v>
      </c>
    </row>
    <row r="7" spans="1:123" x14ac:dyDescent="0.35">
      <c r="A7" t="s">
        <v>5</v>
      </c>
      <c r="B7">
        <v>102</v>
      </c>
      <c r="C7">
        <v>114</v>
      </c>
      <c r="D7">
        <v>106</v>
      </c>
      <c r="E7">
        <v>115</v>
      </c>
      <c r="F7" s="2">
        <f t="shared" si="1"/>
        <v>109</v>
      </c>
      <c r="G7">
        <v>103</v>
      </c>
      <c r="H7" s="2">
        <f t="shared" si="1"/>
        <v>113.5</v>
      </c>
      <c r="I7">
        <v>124</v>
      </c>
      <c r="J7">
        <v>175</v>
      </c>
      <c r="K7" s="2">
        <f t="shared" si="2"/>
        <v>172</v>
      </c>
      <c r="L7">
        <v>169</v>
      </c>
      <c r="M7">
        <v>181</v>
      </c>
      <c r="N7">
        <v>201</v>
      </c>
      <c r="O7">
        <v>192</v>
      </c>
      <c r="P7">
        <v>177</v>
      </c>
      <c r="Q7">
        <v>200</v>
      </c>
      <c r="R7">
        <v>225</v>
      </c>
      <c r="S7">
        <v>236</v>
      </c>
      <c r="T7">
        <v>277</v>
      </c>
      <c r="U7">
        <v>208</v>
      </c>
      <c r="V7">
        <v>206</v>
      </c>
      <c r="W7">
        <v>187</v>
      </c>
      <c r="X7">
        <v>168</v>
      </c>
      <c r="Y7">
        <v>258</v>
      </c>
      <c r="Z7">
        <v>176</v>
      </c>
      <c r="AA7">
        <v>245</v>
      </c>
      <c r="AB7">
        <v>150</v>
      </c>
      <c r="AC7">
        <v>188</v>
      </c>
      <c r="AD7">
        <v>211</v>
      </c>
      <c r="AE7">
        <v>254</v>
      </c>
      <c r="AF7">
        <v>205</v>
      </c>
      <c r="AG7">
        <f>8+4+4+6+4+21+14+45+46+1+1+1+1+1+21+12+2+42+41</f>
        <v>275</v>
      </c>
      <c r="AH7">
        <f>8+4+1+5+7+1+13+13+38+34+1+1+7+5+37+34</f>
        <v>209</v>
      </c>
      <c r="AI7">
        <f>8+8+6+3+14+17+43+33+1+1+6+8+1+52+40</f>
        <v>241</v>
      </c>
      <c r="AJ7">
        <v>208</v>
      </c>
      <c r="AK7">
        <v>279</v>
      </c>
      <c r="AL7">
        <v>211</v>
      </c>
      <c r="AM7">
        <v>257</v>
      </c>
      <c r="AN7">
        <v>250</v>
      </c>
      <c r="AO7">
        <v>220</v>
      </c>
      <c r="AP7">
        <v>203</v>
      </c>
      <c r="AQ7">
        <v>201</v>
      </c>
      <c r="AR7">
        <v>241</v>
      </c>
      <c r="AS7">
        <v>206</v>
      </c>
      <c r="AT7">
        <v>211</v>
      </c>
      <c r="AU7">
        <v>163</v>
      </c>
      <c r="AV7">
        <v>123</v>
      </c>
      <c r="AW7">
        <v>153</v>
      </c>
      <c r="AX7">
        <v>116</v>
      </c>
      <c r="AY7">
        <v>108</v>
      </c>
      <c r="AZ7" s="3">
        <v>123</v>
      </c>
      <c r="BA7" s="3">
        <v>107</v>
      </c>
      <c r="BB7" s="3">
        <v>118</v>
      </c>
      <c r="BC7" s="3">
        <v>152</v>
      </c>
      <c r="BD7" s="3">
        <v>111</v>
      </c>
      <c r="BE7">
        <v>140</v>
      </c>
      <c r="BF7">
        <v>121</v>
      </c>
      <c r="BG7">
        <v>163</v>
      </c>
      <c r="BH7">
        <v>116</v>
      </c>
      <c r="BI7">
        <v>125</v>
      </c>
      <c r="BJ7">
        <v>113</v>
      </c>
      <c r="BK7">
        <v>109</v>
      </c>
      <c r="BL7">
        <v>114</v>
      </c>
      <c r="BM7">
        <v>103</v>
      </c>
      <c r="BN7" s="4">
        <v>107</v>
      </c>
      <c r="BO7" s="4">
        <v>79</v>
      </c>
      <c r="BP7">
        <v>69</v>
      </c>
      <c r="BQ7">
        <v>89</v>
      </c>
      <c r="BR7">
        <v>110</v>
      </c>
      <c r="BS7" s="2">
        <f t="shared" si="0"/>
        <v>94.5</v>
      </c>
      <c r="BT7">
        <v>79</v>
      </c>
      <c r="BU7">
        <v>84</v>
      </c>
      <c r="BV7">
        <v>99</v>
      </c>
      <c r="BW7">
        <v>99</v>
      </c>
      <c r="BX7">
        <v>72</v>
      </c>
      <c r="BY7">
        <v>95</v>
      </c>
      <c r="BZ7">
        <v>101</v>
      </c>
      <c r="CA7">
        <v>74</v>
      </c>
      <c r="CB7">
        <v>63</v>
      </c>
      <c r="CC7">
        <v>61</v>
      </c>
      <c r="CD7">
        <v>56</v>
      </c>
      <c r="CE7">
        <v>41</v>
      </c>
      <c r="CF7">
        <v>30</v>
      </c>
      <c r="CG7">
        <v>33</v>
      </c>
      <c r="CH7">
        <v>64</v>
      </c>
      <c r="CI7">
        <v>34</v>
      </c>
      <c r="CJ7">
        <v>42</v>
      </c>
      <c r="CK7">
        <v>32</v>
      </c>
      <c r="CL7">
        <v>50</v>
      </c>
      <c r="CM7">
        <v>31</v>
      </c>
      <c r="CN7">
        <v>40</v>
      </c>
      <c r="CO7">
        <v>42</v>
      </c>
      <c r="CP7">
        <v>33</v>
      </c>
      <c r="CQ7">
        <v>31</v>
      </c>
      <c r="CR7">
        <v>32</v>
      </c>
      <c r="CS7">
        <v>38</v>
      </c>
      <c r="CT7">
        <v>33</v>
      </c>
      <c r="CU7">
        <v>27</v>
      </c>
      <c r="CV7">
        <v>32</v>
      </c>
      <c r="CW7">
        <v>23</v>
      </c>
      <c r="CX7">
        <v>17</v>
      </c>
      <c r="CY7">
        <v>11</v>
      </c>
      <c r="CZ7">
        <v>26</v>
      </c>
      <c r="DA7">
        <v>30</v>
      </c>
      <c r="DB7">
        <v>33</v>
      </c>
      <c r="DC7">
        <v>31</v>
      </c>
      <c r="DD7">
        <v>16</v>
      </c>
      <c r="DE7">
        <v>26</v>
      </c>
      <c r="DF7">
        <v>19</v>
      </c>
      <c r="DG7">
        <v>15</v>
      </c>
      <c r="DH7">
        <v>9</v>
      </c>
      <c r="DI7">
        <v>16</v>
      </c>
      <c r="DJ7">
        <v>16</v>
      </c>
      <c r="DK7">
        <v>8</v>
      </c>
      <c r="DL7">
        <v>13</v>
      </c>
      <c r="DM7">
        <v>15</v>
      </c>
      <c r="DN7">
        <v>12</v>
      </c>
      <c r="DO7">
        <v>12</v>
      </c>
      <c r="DP7">
        <v>12</v>
      </c>
      <c r="DQ7">
        <v>8</v>
      </c>
      <c r="DR7">
        <v>2</v>
      </c>
      <c r="DS7">
        <v>9</v>
      </c>
    </row>
    <row r="8" spans="1:123" x14ac:dyDescent="0.35">
      <c r="A8" t="s">
        <v>6</v>
      </c>
      <c r="B8">
        <v>180</v>
      </c>
      <c r="C8">
        <v>182</v>
      </c>
      <c r="D8">
        <v>171</v>
      </c>
      <c r="E8">
        <v>213</v>
      </c>
      <c r="F8" s="2">
        <f t="shared" si="1"/>
        <v>184</v>
      </c>
      <c r="G8">
        <v>155</v>
      </c>
      <c r="H8" s="2">
        <f t="shared" si="1"/>
        <v>168.5</v>
      </c>
      <c r="I8">
        <v>182</v>
      </c>
      <c r="J8">
        <v>184</v>
      </c>
      <c r="K8" s="2">
        <f t="shared" si="2"/>
        <v>214</v>
      </c>
      <c r="L8">
        <v>244</v>
      </c>
      <c r="M8">
        <v>208</v>
      </c>
      <c r="N8">
        <v>214</v>
      </c>
      <c r="O8">
        <v>171</v>
      </c>
      <c r="P8">
        <v>178</v>
      </c>
      <c r="Q8">
        <v>241</v>
      </c>
      <c r="R8">
        <v>225</v>
      </c>
      <c r="S8">
        <v>184</v>
      </c>
      <c r="T8">
        <v>212</v>
      </c>
      <c r="U8">
        <v>157</v>
      </c>
      <c r="V8">
        <v>190</v>
      </c>
      <c r="W8">
        <v>224</v>
      </c>
      <c r="X8">
        <v>172</v>
      </c>
      <c r="Y8">
        <v>180</v>
      </c>
      <c r="Z8">
        <v>163</v>
      </c>
      <c r="AA8">
        <v>249</v>
      </c>
      <c r="AB8">
        <v>177</v>
      </c>
      <c r="AC8">
        <v>189</v>
      </c>
      <c r="AD8">
        <v>206</v>
      </c>
      <c r="AE8">
        <v>193</v>
      </c>
      <c r="AF8">
        <v>208</v>
      </c>
      <c r="AG8">
        <f>9+4+8+6+24+10+54+30+1+1+1+17+16+1+8+6</f>
        <v>196</v>
      </c>
      <c r="AH8">
        <f>7+10+11+5+1+20+11+31+28+2+2+2+4+12+8+4+5</f>
        <v>163</v>
      </c>
      <c r="AI8">
        <f>3+8+1+2+6+5+2+12+13+31+20+1+1+15+12+1+17+13</f>
        <v>163</v>
      </c>
      <c r="AJ8">
        <v>172</v>
      </c>
      <c r="AK8">
        <v>196</v>
      </c>
      <c r="AL8">
        <v>221</v>
      </c>
      <c r="AM8">
        <v>147</v>
      </c>
      <c r="AN8">
        <v>193</v>
      </c>
      <c r="AO8">
        <v>134</v>
      </c>
      <c r="AP8">
        <v>194</v>
      </c>
      <c r="AQ8">
        <v>139</v>
      </c>
      <c r="AR8">
        <v>150</v>
      </c>
      <c r="AS8">
        <v>121</v>
      </c>
      <c r="AT8">
        <v>134</v>
      </c>
      <c r="AU8">
        <v>94</v>
      </c>
      <c r="AV8">
        <v>86</v>
      </c>
      <c r="AW8">
        <v>123</v>
      </c>
      <c r="AX8">
        <v>93</v>
      </c>
      <c r="AY8">
        <v>88</v>
      </c>
      <c r="AZ8" s="3">
        <v>101</v>
      </c>
      <c r="BA8" s="3">
        <v>90</v>
      </c>
      <c r="BB8" s="3">
        <v>84</v>
      </c>
      <c r="BC8" s="3">
        <v>85</v>
      </c>
      <c r="BD8" s="3">
        <v>63</v>
      </c>
      <c r="BE8">
        <v>92</v>
      </c>
      <c r="BF8">
        <v>83</v>
      </c>
      <c r="BG8">
        <v>89</v>
      </c>
      <c r="BH8">
        <v>82</v>
      </c>
      <c r="BI8">
        <v>116</v>
      </c>
      <c r="BJ8">
        <v>100</v>
      </c>
      <c r="BK8">
        <v>92</v>
      </c>
      <c r="BL8">
        <v>103</v>
      </c>
      <c r="BM8">
        <v>71</v>
      </c>
      <c r="BN8" s="4">
        <v>102</v>
      </c>
      <c r="BO8" s="4">
        <v>98</v>
      </c>
      <c r="BP8">
        <v>73</v>
      </c>
      <c r="BQ8">
        <v>91</v>
      </c>
      <c r="BR8">
        <v>92</v>
      </c>
      <c r="BS8" s="2">
        <f t="shared" si="0"/>
        <v>85.5</v>
      </c>
      <c r="BT8">
        <v>79</v>
      </c>
      <c r="BU8">
        <v>68</v>
      </c>
      <c r="BV8">
        <v>54</v>
      </c>
      <c r="BW8">
        <v>58</v>
      </c>
      <c r="BX8">
        <v>65</v>
      </c>
      <c r="BY8">
        <v>60</v>
      </c>
      <c r="BZ8">
        <v>65</v>
      </c>
      <c r="CA8">
        <v>76</v>
      </c>
      <c r="CB8">
        <v>59</v>
      </c>
      <c r="CC8">
        <v>62</v>
      </c>
      <c r="CD8">
        <v>43</v>
      </c>
      <c r="CE8">
        <v>45</v>
      </c>
      <c r="CF8">
        <v>37</v>
      </c>
      <c r="CG8">
        <v>45</v>
      </c>
      <c r="CH8">
        <v>41</v>
      </c>
      <c r="CI8">
        <v>47</v>
      </c>
      <c r="CJ8">
        <v>37</v>
      </c>
      <c r="CK8">
        <v>34</v>
      </c>
      <c r="CL8">
        <v>31</v>
      </c>
      <c r="CM8">
        <v>44</v>
      </c>
      <c r="CN8">
        <v>25</v>
      </c>
      <c r="CO8">
        <v>33</v>
      </c>
      <c r="CP8">
        <v>29</v>
      </c>
      <c r="CQ8">
        <v>33</v>
      </c>
      <c r="CR8">
        <v>27</v>
      </c>
      <c r="CS8">
        <v>21</v>
      </c>
      <c r="CT8">
        <v>34</v>
      </c>
      <c r="CU8">
        <v>22</v>
      </c>
      <c r="CV8">
        <v>20</v>
      </c>
      <c r="CW8">
        <v>20</v>
      </c>
      <c r="CX8">
        <v>17</v>
      </c>
      <c r="CY8">
        <v>26</v>
      </c>
      <c r="CZ8">
        <v>22</v>
      </c>
      <c r="DA8">
        <v>16</v>
      </c>
      <c r="DB8">
        <v>20</v>
      </c>
      <c r="DC8">
        <v>20</v>
      </c>
      <c r="DD8">
        <v>20</v>
      </c>
      <c r="DE8">
        <v>19</v>
      </c>
      <c r="DF8">
        <v>10</v>
      </c>
      <c r="DG8">
        <v>5</v>
      </c>
      <c r="DH8">
        <v>9</v>
      </c>
      <c r="DI8">
        <v>21</v>
      </c>
      <c r="DJ8">
        <v>17</v>
      </c>
      <c r="DK8">
        <v>10</v>
      </c>
      <c r="DL8">
        <v>17</v>
      </c>
      <c r="DM8">
        <v>8</v>
      </c>
      <c r="DN8">
        <v>10</v>
      </c>
      <c r="DO8">
        <v>13</v>
      </c>
      <c r="DP8">
        <v>6</v>
      </c>
      <c r="DQ8">
        <v>11</v>
      </c>
      <c r="DR8">
        <v>8</v>
      </c>
      <c r="DS8">
        <v>6</v>
      </c>
    </row>
    <row r="9" spans="1:123" x14ac:dyDescent="0.35">
      <c r="A9" t="s">
        <v>7</v>
      </c>
      <c r="B9">
        <v>185</v>
      </c>
      <c r="C9">
        <v>152</v>
      </c>
      <c r="D9">
        <v>147</v>
      </c>
      <c r="E9">
        <v>147</v>
      </c>
      <c r="F9" s="2">
        <f t="shared" si="1"/>
        <v>151</v>
      </c>
      <c r="G9">
        <v>155</v>
      </c>
      <c r="H9" s="2">
        <f t="shared" si="1"/>
        <v>176</v>
      </c>
      <c r="I9">
        <v>197</v>
      </c>
      <c r="J9">
        <v>152</v>
      </c>
      <c r="K9" s="2">
        <f t="shared" si="2"/>
        <v>157</v>
      </c>
      <c r="L9">
        <v>162</v>
      </c>
      <c r="M9">
        <v>159</v>
      </c>
      <c r="N9">
        <v>252</v>
      </c>
      <c r="O9">
        <v>143</v>
      </c>
      <c r="P9">
        <v>171</v>
      </c>
      <c r="Q9">
        <v>166</v>
      </c>
      <c r="R9">
        <v>204</v>
      </c>
      <c r="S9">
        <v>184</v>
      </c>
      <c r="T9">
        <v>202</v>
      </c>
      <c r="U9">
        <v>162</v>
      </c>
      <c r="V9">
        <v>231</v>
      </c>
      <c r="W9">
        <v>159</v>
      </c>
      <c r="X9">
        <v>168</v>
      </c>
      <c r="Y9">
        <v>181</v>
      </c>
      <c r="Z9">
        <v>152</v>
      </c>
      <c r="AA9">
        <v>223</v>
      </c>
      <c r="AB9">
        <v>152</v>
      </c>
      <c r="AC9">
        <v>151</v>
      </c>
      <c r="AD9">
        <v>150</v>
      </c>
      <c r="AE9">
        <v>126</v>
      </c>
      <c r="AF9">
        <v>165</v>
      </c>
      <c r="AG9">
        <f>11+10+1+4+13+8+23+18+1+7+8+1+29+28</f>
        <v>162</v>
      </c>
      <c r="AH9">
        <f>4+5+4+1+1+5+4+27+20+1+1+7+3+30+23</f>
        <v>136</v>
      </c>
      <c r="AI9">
        <f>6+6+3+6+5+21+16+1+3+5+2+21+19</f>
        <v>114</v>
      </c>
      <c r="AJ9">
        <v>186</v>
      </c>
      <c r="AK9">
        <v>174</v>
      </c>
      <c r="AL9">
        <v>139</v>
      </c>
      <c r="AM9">
        <v>135</v>
      </c>
      <c r="AN9">
        <v>148</v>
      </c>
      <c r="AO9">
        <v>130</v>
      </c>
      <c r="AP9">
        <v>134</v>
      </c>
      <c r="AQ9">
        <v>147</v>
      </c>
      <c r="AR9">
        <v>141</v>
      </c>
      <c r="AS9">
        <v>97</v>
      </c>
      <c r="AT9">
        <v>118</v>
      </c>
      <c r="AU9">
        <v>88</v>
      </c>
      <c r="AV9">
        <v>87</v>
      </c>
      <c r="AW9">
        <v>120</v>
      </c>
      <c r="AX9">
        <v>94</v>
      </c>
      <c r="AY9">
        <v>70</v>
      </c>
      <c r="AZ9" s="3">
        <v>118</v>
      </c>
      <c r="BA9" s="3">
        <v>80</v>
      </c>
      <c r="BB9" s="3">
        <v>62</v>
      </c>
      <c r="BC9" s="3">
        <v>73</v>
      </c>
      <c r="BD9" s="3">
        <v>59</v>
      </c>
      <c r="BE9">
        <v>108</v>
      </c>
      <c r="BF9">
        <v>70</v>
      </c>
      <c r="BG9">
        <v>96</v>
      </c>
      <c r="BH9">
        <v>83</v>
      </c>
      <c r="BI9">
        <v>118</v>
      </c>
      <c r="BJ9">
        <v>99</v>
      </c>
      <c r="BK9">
        <v>107</v>
      </c>
      <c r="BL9">
        <v>93</v>
      </c>
      <c r="BM9">
        <v>114</v>
      </c>
      <c r="BN9" s="4">
        <v>84</v>
      </c>
      <c r="BO9" s="4">
        <v>105</v>
      </c>
      <c r="BP9">
        <v>84</v>
      </c>
      <c r="BQ9">
        <v>70</v>
      </c>
      <c r="BR9">
        <v>81</v>
      </c>
      <c r="BS9" s="2">
        <f t="shared" si="0"/>
        <v>74</v>
      </c>
      <c r="BT9">
        <v>67</v>
      </c>
      <c r="BU9">
        <v>57</v>
      </c>
      <c r="BV9">
        <v>55</v>
      </c>
      <c r="BW9">
        <v>69</v>
      </c>
      <c r="BX9">
        <v>66</v>
      </c>
      <c r="BY9">
        <v>62</v>
      </c>
      <c r="BZ9">
        <v>77</v>
      </c>
      <c r="CA9">
        <v>66</v>
      </c>
      <c r="CB9">
        <v>57</v>
      </c>
      <c r="CC9">
        <v>43</v>
      </c>
      <c r="CD9">
        <v>45</v>
      </c>
      <c r="CE9">
        <v>41</v>
      </c>
      <c r="CF9">
        <v>27</v>
      </c>
      <c r="CG9">
        <v>26</v>
      </c>
      <c r="CH9">
        <v>28</v>
      </c>
      <c r="CI9">
        <v>24</v>
      </c>
      <c r="CJ9">
        <v>53</v>
      </c>
      <c r="CK9">
        <v>20</v>
      </c>
      <c r="CL9">
        <v>27</v>
      </c>
      <c r="CM9">
        <v>19</v>
      </c>
      <c r="CN9">
        <v>27</v>
      </c>
      <c r="CO9">
        <v>21</v>
      </c>
      <c r="CP9">
        <v>22</v>
      </c>
      <c r="CQ9">
        <v>27</v>
      </c>
      <c r="CR9">
        <v>26</v>
      </c>
      <c r="CS9">
        <v>20</v>
      </c>
      <c r="CT9">
        <v>16</v>
      </c>
      <c r="CU9">
        <v>27</v>
      </c>
      <c r="CV9">
        <v>19</v>
      </c>
      <c r="CW9">
        <v>17</v>
      </c>
      <c r="CX9">
        <v>15</v>
      </c>
      <c r="CY9">
        <v>9</v>
      </c>
      <c r="CZ9">
        <v>16</v>
      </c>
      <c r="DA9">
        <v>10</v>
      </c>
      <c r="DB9">
        <v>13</v>
      </c>
      <c r="DC9">
        <v>9</v>
      </c>
      <c r="DD9">
        <v>1</v>
      </c>
      <c r="DE9">
        <v>8</v>
      </c>
      <c r="DF9">
        <v>8</v>
      </c>
      <c r="DG9">
        <v>14</v>
      </c>
      <c r="DH9">
        <v>4</v>
      </c>
      <c r="DI9">
        <v>6</v>
      </c>
      <c r="DJ9">
        <v>8</v>
      </c>
      <c r="DK9">
        <v>3</v>
      </c>
      <c r="DL9">
        <v>7</v>
      </c>
      <c r="DM9">
        <v>5</v>
      </c>
      <c r="DN9">
        <v>11</v>
      </c>
      <c r="DO9">
        <v>6</v>
      </c>
      <c r="DP9">
        <v>4</v>
      </c>
      <c r="DQ9">
        <v>6</v>
      </c>
      <c r="DR9">
        <v>4</v>
      </c>
      <c r="DS9">
        <v>2</v>
      </c>
    </row>
    <row r="10" spans="1:123" x14ac:dyDescent="0.35">
      <c r="A10" t="s">
        <v>8</v>
      </c>
      <c r="B10">
        <v>48</v>
      </c>
      <c r="C10">
        <v>87</v>
      </c>
      <c r="D10">
        <v>67</v>
      </c>
      <c r="E10">
        <v>60</v>
      </c>
      <c r="F10" s="2">
        <f t="shared" si="1"/>
        <v>63</v>
      </c>
      <c r="G10">
        <v>66</v>
      </c>
      <c r="H10" s="2">
        <f t="shared" si="1"/>
        <v>64</v>
      </c>
      <c r="I10">
        <v>62</v>
      </c>
      <c r="J10">
        <v>68</v>
      </c>
      <c r="K10" s="2">
        <f t="shared" si="2"/>
        <v>72.5</v>
      </c>
      <c r="L10">
        <v>77</v>
      </c>
      <c r="M10">
        <v>69</v>
      </c>
      <c r="N10">
        <v>87</v>
      </c>
      <c r="O10">
        <v>71</v>
      </c>
      <c r="P10">
        <v>60</v>
      </c>
      <c r="Q10">
        <v>55</v>
      </c>
      <c r="R10">
        <v>88</v>
      </c>
      <c r="S10">
        <v>50</v>
      </c>
      <c r="T10">
        <v>56</v>
      </c>
      <c r="U10">
        <v>81</v>
      </c>
      <c r="V10">
        <v>92</v>
      </c>
      <c r="W10">
        <v>70</v>
      </c>
      <c r="X10">
        <v>55</v>
      </c>
      <c r="Y10">
        <v>85</v>
      </c>
      <c r="Z10">
        <v>73</v>
      </c>
      <c r="AA10">
        <v>71</v>
      </c>
      <c r="AB10">
        <v>57</v>
      </c>
      <c r="AC10">
        <v>67</v>
      </c>
      <c r="AD10">
        <v>50</v>
      </c>
      <c r="AE10">
        <v>58</v>
      </c>
      <c r="AF10">
        <v>49</v>
      </c>
      <c r="AG10">
        <f>1+2+1+3+7+2+14+19+2+2+15+3</f>
        <v>71</v>
      </c>
      <c r="AH10">
        <f>1+1+1+11+6+2+1+3+2+12+12</f>
        <v>52</v>
      </c>
      <c r="AI10">
        <f>1+2+1+2+4+3+1+16+5+4+1+14+10</f>
        <v>64</v>
      </c>
      <c r="AJ10">
        <v>82</v>
      </c>
      <c r="AK10">
        <v>58</v>
      </c>
      <c r="AL10">
        <v>61</v>
      </c>
      <c r="AM10">
        <v>77</v>
      </c>
      <c r="AN10">
        <v>71</v>
      </c>
      <c r="AO10">
        <v>53</v>
      </c>
      <c r="AP10">
        <v>69</v>
      </c>
      <c r="AQ10">
        <v>44</v>
      </c>
      <c r="AR10">
        <v>70</v>
      </c>
      <c r="AS10">
        <v>82</v>
      </c>
      <c r="AT10">
        <v>39</v>
      </c>
      <c r="AU10">
        <v>32</v>
      </c>
      <c r="AV10">
        <v>35</v>
      </c>
      <c r="AW10">
        <v>46</v>
      </c>
      <c r="AX10">
        <v>39</v>
      </c>
      <c r="AY10">
        <v>31</v>
      </c>
      <c r="AZ10" s="3">
        <v>27</v>
      </c>
      <c r="BA10" s="3">
        <v>29</v>
      </c>
      <c r="BB10" s="3">
        <v>23</v>
      </c>
      <c r="BC10" s="3">
        <v>21</v>
      </c>
      <c r="BD10" s="3">
        <v>28</v>
      </c>
      <c r="BE10">
        <v>20</v>
      </c>
      <c r="BF10">
        <v>29</v>
      </c>
      <c r="BG10">
        <v>24</v>
      </c>
      <c r="BH10">
        <v>21</v>
      </c>
      <c r="BI10">
        <v>29</v>
      </c>
      <c r="BJ10">
        <v>28</v>
      </c>
      <c r="BK10">
        <v>10</v>
      </c>
      <c r="BL10">
        <v>33</v>
      </c>
      <c r="BM10">
        <v>27</v>
      </c>
      <c r="BN10" s="4">
        <v>31</v>
      </c>
      <c r="BO10" s="4">
        <v>23</v>
      </c>
      <c r="BP10">
        <v>21</v>
      </c>
      <c r="BQ10">
        <v>29</v>
      </c>
      <c r="BR10">
        <v>17</v>
      </c>
      <c r="BS10" s="2">
        <f t="shared" si="0"/>
        <v>19</v>
      </c>
      <c r="BT10">
        <v>21</v>
      </c>
      <c r="BU10">
        <v>13</v>
      </c>
      <c r="BV10">
        <v>13</v>
      </c>
      <c r="BW10">
        <v>23</v>
      </c>
      <c r="BX10">
        <v>27</v>
      </c>
      <c r="BY10">
        <v>24</v>
      </c>
      <c r="BZ10">
        <v>18</v>
      </c>
      <c r="CA10">
        <v>19</v>
      </c>
      <c r="CB10">
        <v>22</v>
      </c>
      <c r="CC10">
        <v>11</v>
      </c>
      <c r="CD10">
        <v>23</v>
      </c>
      <c r="CE10">
        <v>14</v>
      </c>
      <c r="CF10">
        <v>9</v>
      </c>
      <c r="CG10">
        <v>5</v>
      </c>
      <c r="CH10">
        <v>13</v>
      </c>
      <c r="CI10">
        <v>12</v>
      </c>
      <c r="CJ10">
        <v>6</v>
      </c>
      <c r="CK10">
        <v>9</v>
      </c>
      <c r="CL10">
        <v>6</v>
      </c>
      <c r="CM10">
        <v>7</v>
      </c>
      <c r="CN10">
        <v>7</v>
      </c>
      <c r="CO10">
        <v>5</v>
      </c>
      <c r="CP10">
        <v>1</v>
      </c>
      <c r="CQ10">
        <v>8</v>
      </c>
      <c r="CR10">
        <v>8</v>
      </c>
      <c r="CS10">
        <v>4</v>
      </c>
      <c r="CT10">
        <v>8</v>
      </c>
      <c r="CU10">
        <v>5</v>
      </c>
      <c r="CV10">
        <v>3</v>
      </c>
      <c r="CW10">
        <v>5</v>
      </c>
      <c r="CX10">
        <v>7</v>
      </c>
      <c r="CY10">
        <v>3</v>
      </c>
      <c r="CZ10">
        <v>5</v>
      </c>
      <c r="DA10">
        <v>5</v>
      </c>
      <c r="DB10">
        <v>7</v>
      </c>
      <c r="DC10">
        <v>4</v>
      </c>
      <c r="DD10">
        <v>6</v>
      </c>
      <c r="DE10">
        <v>2</v>
      </c>
      <c r="DF10">
        <v>2</v>
      </c>
      <c r="DG10">
        <v>3</v>
      </c>
      <c r="DH10">
        <v>2</v>
      </c>
      <c r="DI10">
        <v>4</v>
      </c>
      <c r="DJ10">
        <v>1</v>
      </c>
      <c r="DK10">
        <v>2</v>
      </c>
      <c r="DL10">
        <v>1</v>
      </c>
      <c r="DM10">
        <v>3</v>
      </c>
      <c r="DN10">
        <v>4</v>
      </c>
      <c r="DO10">
        <v>0</v>
      </c>
      <c r="DP10">
        <v>5</v>
      </c>
      <c r="DQ10">
        <v>1</v>
      </c>
      <c r="DR10">
        <v>1</v>
      </c>
      <c r="DS10">
        <v>2</v>
      </c>
    </row>
    <row r="11" spans="1:123" x14ac:dyDescent="0.35">
      <c r="A11" t="s">
        <v>9</v>
      </c>
      <c r="B11">
        <v>118</v>
      </c>
      <c r="C11">
        <v>119</v>
      </c>
      <c r="D11">
        <v>126</v>
      </c>
      <c r="E11">
        <v>163</v>
      </c>
      <c r="F11" s="2">
        <f t="shared" si="1"/>
        <v>134.5</v>
      </c>
      <c r="G11">
        <v>106</v>
      </c>
      <c r="H11" s="2">
        <f t="shared" si="1"/>
        <v>153</v>
      </c>
      <c r="I11">
        <v>200</v>
      </c>
      <c r="J11">
        <v>179</v>
      </c>
      <c r="K11" s="2">
        <f t="shared" si="2"/>
        <v>168</v>
      </c>
      <c r="L11">
        <v>157</v>
      </c>
      <c r="M11">
        <v>164</v>
      </c>
      <c r="N11">
        <v>193</v>
      </c>
      <c r="O11">
        <v>116</v>
      </c>
      <c r="P11">
        <v>134</v>
      </c>
      <c r="Q11">
        <v>154</v>
      </c>
      <c r="R11">
        <v>222</v>
      </c>
      <c r="S11">
        <v>143</v>
      </c>
      <c r="T11">
        <v>168</v>
      </c>
      <c r="U11">
        <v>152</v>
      </c>
      <c r="V11">
        <v>185</v>
      </c>
      <c r="W11">
        <v>188</v>
      </c>
      <c r="X11">
        <v>157</v>
      </c>
      <c r="Y11">
        <v>148</v>
      </c>
      <c r="Z11">
        <v>149</v>
      </c>
      <c r="AA11">
        <v>217</v>
      </c>
      <c r="AB11">
        <v>141</v>
      </c>
      <c r="AC11">
        <v>154</v>
      </c>
      <c r="AD11">
        <v>156</v>
      </c>
      <c r="AE11">
        <v>143</v>
      </c>
      <c r="AF11">
        <v>149</v>
      </c>
      <c r="AG11">
        <f>1+3+5+8+14+30+26+6+4+33+15</f>
        <v>145</v>
      </c>
      <c r="AH11">
        <f>7+5+3+2+1+1+11+9+28+28+1+5+4+19+7</f>
        <v>131</v>
      </c>
      <c r="AI11">
        <f>9+3+7+3+16+13+24+24+1+1+1+7+5+15+18</f>
        <v>147</v>
      </c>
      <c r="AJ11">
        <v>110</v>
      </c>
      <c r="AK11">
        <v>123</v>
      </c>
      <c r="AL11">
        <v>124</v>
      </c>
      <c r="AM11">
        <v>118</v>
      </c>
      <c r="AN11">
        <v>106</v>
      </c>
      <c r="AO11">
        <v>98</v>
      </c>
      <c r="AP11">
        <v>100</v>
      </c>
      <c r="AQ11">
        <v>107</v>
      </c>
      <c r="AR11">
        <v>90</v>
      </c>
      <c r="AS11">
        <v>97</v>
      </c>
      <c r="AT11">
        <v>82</v>
      </c>
      <c r="AU11">
        <v>62</v>
      </c>
      <c r="AV11">
        <v>41</v>
      </c>
      <c r="AW11">
        <v>65</v>
      </c>
      <c r="AX11">
        <v>77</v>
      </c>
      <c r="AY11">
        <v>47</v>
      </c>
      <c r="AZ11" s="3">
        <v>66</v>
      </c>
      <c r="BA11" s="3">
        <v>54</v>
      </c>
      <c r="BB11" s="3">
        <v>52</v>
      </c>
      <c r="BC11" s="3">
        <v>49</v>
      </c>
      <c r="BD11" s="3">
        <v>55</v>
      </c>
      <c r="BE11">
        <v>61</v>
      </c>
      <c r="BF11">
        <v>76</v>
      </c>
      <c r="BG11">
        <v>85</v>
      </c>
      <c r="BH11">
        <v>70</v>
      </c>
      <c r="BI11">
        <v>62</v>
      </c>
      <c r="BJ11">
        <v>67</v>
      </c>
      <c r="BK11">
        <v>54</v>
      </c>
      <c r="BL11">
        <v>42</v>
      </c>
      <c r="BM11">
        <v>55</v>
      </c>
      <c r="BN11" s="4">
        <v>46</v>
      </c>
      <c r="BO11" s="4">
        <v>73</v>
      </c>
      <c r="BP11">
        <v>48</v>
      </c>
      <c r="BQ11">
        <v>61</v>
      </c>
      <c r="BR11">
        <v>64</v>
      </c>
      <c r="BS11" s="2">
        <f t="shared" si="0"/>
        <v>50.5</v>
      </c>
      <c r="BT11">
        <v>37</v>
      </c>
      <c r="BU11">
        <v>45</v>
      </c>
      <c r="BV11">
        <v>37</v>
      </c>
      <c r="BW11">
        <v>47</v>
      </c>
      <c r="BX11">
        <v>46</v>
      </c>
      <c r="BY11">
        <v>28</v>
      </c>
      <c r="BZ11">
        <v>60</v>
      </c>
      <c r="CA11">
        <v>34</v>
      </c>
      <c r="CB11">
        <v>46</v>
      </c>
      <c r="CC11">
        <v>44</v>
      </c>
      <c r="CD11">
        <v>39</v>
      </c>
      <c r="CE11">
        <v>33</v>
      </c>
      <c r="CF11">
        <v>29</v>
      </c>
      <c r="CG11">
        <v>26</v>
      </c>
      <c r="CH11">
        <v>30</v>
      </c>
      <c r="CI11">
        <v>40</v>
      </c>
      <c r="CJ11">
        <v>31</v>
      </c>
      <c r="CK11">
        <v>28</v>
      </c>
      <c r="CL11">
        <v>29</v>
      </c>
      <c r="CM11">
        <v>21</v>
      </c>
      <c r="CN11">
        <v>13</v>
      </c>
      <c r="CO11">
        <v>14</v>
      </c>
      <c r="CP11">
        <v>19</v>
      </c>
      <c r="CQ11">
        <v>20</v>
      </c>
      <c r="CR11">
        <v>19</v>
      </c>
      <c r="CS11">
        <v>12</v>
      </c>
      <c r="CT11">
        <v>26</v>
      </c>
      <c r="CU11">
        <v>16</v>
      </c>
      <c r="CV11">
        <v>10</v>
      </c>
      <c r="CW11">
        <v>8</v>
      </c>
      <c r="CX11">
        <v>16</v>
      </c>
      <c r="CY11">
        <v>15</v>
      </c>
      <c r="CZ11">
        <v>11</v>
      </c>
      <c r="DA11">
        <v>9</v>
      </c>
      <c r="DB11">
        <v>10</v>
      </c>
      <c r="DC11">
        <v>5</v>
      </c>
      <c r="DD11">
        <v>13</v>
      </c>
      <c r="DE11">
        <v>11</v>
      </c>
      <c r="DF11">
        <v>8</v>
      </c>
      <c r="DG11">
        <v>7</v>
      </c>
      <c r="DH11">
        <v>7</v>
      </c>
      <c r="DI11">
        <v>10</v>
      </c>
      <c r="DJ11">
        <v>4</v>
      </c>
      <c r="DK11">
        <v>3</v>
      </c>
      <c r="DL11">
        <v>7</v>
      </c>
      <c r="DM11">
        <v>9</v>
      </c>
      <c r="DN11">
        <v>2</v>
      </c>
      <c r="DO11">
        <v>10</v>
      </c>
      <c r="DP11">
        <v>3</v>
      </c>
      <c r="DQ11">
        <v>3</v>
      </c>
      <c r="DR11">
        <v>2</v>
      </c>
      <c r="DS11">
        <v>7</v>
      </c>
    </row>
    <row r="12" spans="1:123" x14ac:dyDescent="0.35">
      <c r="A12" t="s">
        <v>10</v>
      </c>
      <c r="B12">
        <v>152</v>
      </c>
      <c r="C12">
        <v>132</v>
      </c>
      <c r="D12">
        <v>143</v>
      </c>
      <c r="E12">
        <v>151</v>
      </c>
      <c r="F12" s="2">
        <f t="shared" si="1"/>
        <v>135</v>
      </c>
      <c r="G12">
        <v>119</v>
      </c>
      <c r="H12" s="2">
        <f t="shared" si="1"/>
        <v>163</v>
      </c>
      <c r="I12">
        <v>207</v>
      </c>
      <c r="J12">
        <v>179</v>
      </c>
      <c r="K12" s="2">
        <f t="shared" si="2"/>
        <v>175</v>
      </c>
      <c r="L12">
        <v>171</v>
      </c>
      <c r="M12">
        <v>169</v>
      </c>
      <c r="N12">
        <v>173</v>
      </c>
      <c r="O12">
        <v>128</v>
      </c>
      <c r="P12">
        <v>131</v>
      </c>
      <c r="Q12">
        <v>118</v>
      </c>
      <c r="R12">
        <v>189</v>
      </c>
      <c r="S12">
        <v>158</v>
      </c>
      <c r="T12">
        <v>173</v>
      </c>
      <c r="U12">
        <v>177</v>
      </c>
      <c r="V12">
        <v>202</v>
      </c>
      <c r="W12">
        <v>200</v>
      </c>
      <c r="X12">
        <v>128</v>
      </c>
      <c r="Y12">
        <v>172</v>
      </c>
      <c r="Z12">
        <v>164</v>
      </c>
      <c r="AA12">
        <v>217</v>
      </c>
      <c r="AB12">
        <v>124</v>
      </c>
      <c r="AC12">
        <v>187</v>
      </c>
      <c r="AD12">
        <v>212</v>
      </c>
      <c r="AE12">
        <v>149</v>
      </c>
      <c r="AF12">
        <v>149</v>
      </c>
      <c r="AG12">
        <f>2+2+1+1+4+3+11+13+25+25+1+12+2+26+23</f>
        <v>151</v>
      </c>
      <c r="AH12">
        <f>6+3+1+10+2+10+8+21+26+1+2+15+10+1+20+24</f>
        <v>160</v>
      </c>
      <c r="AI12">
        <f>3+8+1+9+14+9+24+18+1+10+1+17+20</f>
        <v>135</v>
      </c>
      <c r="AJ12">
        <v>164</v>
      </c>
      <c r="AK12">
        <v>149</v>
      </c>
      <c r="AL12">
        <v>135</v>
      </c>
      <c r="AM12">
        <v>152</v>
      </c>
      <c r="AN12">
        <v>118</v>
      </c>
      <c r="AO12">
        <v>104</v>
      </c>
      <c r="AP12">
        <v>112</v>
      </c>
      <c r="AQ12">
        <v>116</v>
      </c>
      <c r="AR12">
        <v>116</v>
      </c>
      <c r="AS12">
        <v>124</v>
      </c>
      <c r="AT12">
        <v>68</v>
      </c>
      <c r="AU12">
        <v>67</v>
      </c>
      <c r="AV12">
        <v>58</v>
      </c>
      <c r="AW12">
        <v>68</v>
      </c>
      <c r="AX12">
        <v>75</v>
      </c>
      <c r="AY12">
        <v>58</v>
      </c>
      <c r="AZ12" s="3">
        <v>71</v>
      </c>
      <c r="BA12" s="3">
        <v>58</v>
      </c>
      <c r="BB12" s="3">
        <v>61</v>
      </c>
      <c r="BC12" s="3">
        <v>52</v>
      </c>
      <c r="BD12" s="3">
        <v>57</v>
      </c>
      <c r="BE12">
        <v>71</v>
      </c>
      <c r="BF12">
        <v>48</v>
      </c>
      <c r="BG12">
        <v>63</v>
      </c>
      <c r="BH12">
        <v>44</v>
      </c>
      <c r="BI12">
        <v>69</v>
      </c>
      <c r="BJ12">
        <v>51</v>
      </c>
      <c r="BK12">
        <v>50</v>
      </c>
      <c r="BL12">
        <v>58</v>
      </c>
      <c r="BM12">
        <v>72</v>
      </c>
      <c r="BN12" s="4">
        <v>81</v>
      </c>
      <c r="BO12" s="4">
        <v>74</v>
      </c>
      <c r="BP12">
        <v>62</v>
      </c>
      <c r="BQ12">
        <v>58</v>
      </c>
      <c r="BR12">
        <v>61</v>
      </c>
      <c r="BS12" s="2">
        <f t="shared" si="0"/>
        <v>57</v>
      </c>
      <c r="BT12">
        <v>53</v>
      </c>
      <c r="BU12">
        <v>54</v>
      </c>
      <c r="BV12">
        <v>43</v>
      </c>
      <c r="BW12">
        <v>37</v>
      </c>
      <c r="BX12">
        <v>47</v>
      </c>
      <c r="BY12">
        <v>47</v>
      </c>
      <c r="BZ12">
        <v>46</v>
      </c>
      <c r="CA12">
        <v>43</v>
      </c>
      <c r="CB12">
        <v>41</v>
      </c>
      <c r="CC12">
        <v>23</v>
      </c>
      <c r="CD12">
        <v>21</v>
      </c>
      <c r="CE12">
        <v>37</v>
      </c>
      <c r="CF12">
        <v>32</v>
      </c>
      <c r="CG12">
        <v>22</v>
      </c>
      <c r="CH12">
        <v>28</v>
      </c>
      <c r="CI12">
        <v>35</v>
      </c>
      <c r="CJ12">
        <v>38</v>
      </c>
      <c r="CK12">
        <v>23</v>
      </c>
      <c r="CL12">
        <v>19</v>
      </c>
      <c r="CM12">
        <v>17</v>
      </c>
      <c r="CN12">
        <v>22</v>
      </c>
      <c r="CO12">
        <v>15</v>
      </c>
      <c r="CP12">
        <v>15</v>
      </c>
      <c r="CQ12">
        <v>14</v>
      </c>
      <c r="CR12">
        <v>21</v>
      </c>
      <c r="CS12">
        <v>23</v>
      </c>
      <c r="CT12">
        <v>17</v>
      </c>
      <c r="CU12">
        <v>15</v>
      </c>
      <c r="CV12">
        <v>16</v>
      </c>
      <c r="CW12">
        <v>8</v>
      </c>
      <c r="CX12">
        <v>8</v>
      </c>
      <c r="CY12">
        <v>11</v>
      </c>
      <c r="CZ12">
        <v>14</v>
      </c>
      <c r="DA12">
        <v>18</v>
      </c>
      <c r="DB12">
        <v>9</v>
      </c>
      <c r="DC12">
        <v>11</v>
      </c>
      <c r="DD12">
        <v>9</v>
      </c>
      <c r="DE12">
        <v>7</v>
      </c>
      <c r="DF12">
        <v>5</v>
      </c>
      <c r="DG12">
        <v>8</v>
      </c>
      <c r="DH12">
        <v>4</v>
      </c>
      <c r="DI12">
        <v>4</v>
      </c>
      <c r="DJ12">
        <v>12</v>
      </c>
      <c r="DK12">
        <v>11</v>
      </c>
      <c r="DL12">
        <v>6</v>
      </c>
      <c r="DM12">
        <v>5</v>
      </c>
      <c r="DN12">
        <v>12</v>
      </c>
      <c r="DO12">
        <v>2</v>
      </c>
      <c r="DP12">
        <v>5</v>
      </c>
      <c r="DQ12">
        <v>1</v>
      </c>
      <c r="DR12">
        <v>2</v>
      </c>
      <c r="DS12">
        <v>7</v>
      </c>
    </row>
    <row r="13" spans="1:123" x14ac:dyDescent="0.35">
      <c r="A13" t="s">
        <v>11</v>
      </c>
      <c r="B13">
        <v>93</v>
      </c>
      <c r="C13">
        <v>73</v>
      </c>
      <c r="D13">
        <v>48</v>
      </c>
      <c r="E13">
        <v>93</v>
      </c>
      <c r="F13" s="2">
        <f t="shared" si="1"/>
        <v>86</v>
      </c>
      <c r="G13">
        <v>79</v>
      </c>
      <c r="H13" s="2">
        <f t="shared" si="1"/>
        <v>87.5</v>
      </c>
      <c r="I13">
        <v>96</v>
      </c>
      <c r="J13">
        <v>98</v>
      </c>
      <c r="K13" s="2">
        <f t="shared" si="2"/>
        <v>91.5</v>
      </c>
      <c r="L13">
        <v>85</v>
      </c>
      <c r="M13">
        <v>108</v>
      </c>
      <c r="N13">
        <v>117</v>
      </c>
      <c r="O13">
        <v>80</v>
      </c>
      <c r="P13">
        <v>92</v>
      </c>
      <c r="Q13">
        <v>79</v>
      </c>
      <c r="R13">
        <v>110</v>
      </c>
      <c r="S13">
        <v>99</v>
      </c>
      <c r="T13">
        <v>85</v>
      </c>
      <c r="U13">
        <v>106</v>
      </c>
      <c r="V13">
        <v>120</v>
      </c>
      <c r="W13">
        <v>92</v>
      </c>
      <c r="X13">
        <v>77</v>
      </c>
      <c r="Y13">
        <v>96</v>
      </c>
      <c r="Z13">
        <v>117</v>
      </c>
      <c r="AA13">
        <v>138</v>
      </c>
      <c r="AB13">
        <v>103</v>
      </c>
      <c r="AC13">
        <v>140</v>
      </c>
      <c r="AD13">
        <v>128</v>
      </c>
      <c r="AE13">
        <v>107</v>
      </c>
      <c r="AF13">
        <v>103</v>
      </c>
      <c r="AG13">
        <f>4+4+1+2+6+1+20+14+28+24+1+8+4+1+12+8</f>
        <v>138</v>
      </c>
      <c r="AH13">
        <f>1+2+1+2+9+6+25+21+2+7+5+9+8</f>
        <v>98</v>
      </c>
      <c r="AI13">
        <f>1+4+3+4+12+8+28+17+2+11+3+8+10</f>
        <v>111</v>
      </c>
      <c r="AJ13">
        <v>94</v>
      </c>
      <c r="AK13">
        <v>82</v>
      </c>
      <c r="AL13">
        <v>101</v>
      </c>
      <c r="AM13">
        <v>73</v>
      </c>
      <c r="AN13">
        <v>80</v>
      </c>
      <c r="AO13">
        <v>85</v>
      </c>
      <c r="AP13">
        <v>77</v>
      </c>
      <c r="AQ13">
        <v>90</v>
      </c>
      <c r="AR13">
        <v>94</v>
      </c>
      <c r="AS13">
        <v>58</v>
      </c>
      <c r="AT13">
        <v>45</v>
      </c>
      <c r="AU13">
        <v>49</v>
      </c>
      <c r="AV13">
        <v>54</v>
      </c>
      <c r="AW13">
        <v>51</v>
      </c>
      <c r="AX13">
        <v>56</v>
      </c>
      <c r="AY13">
        <v>43</v>
      </c>
      <c r="AZ13" s="3">
        <v>48</v>
      </c>
      <c r="BA13" s="3">
        <v>38</v>
      </c>
      <c r="BB13" s="3">
        <v>41</v>
      </c>
      <c r="BC13" s="3">
        <v>43</v>
      </c>
      <c r="BD13" s="3">
        <v>40</v>
      </c>
      <c r="BE13">
        <v>32</v>
      </c>
      <c r="BF13">
        <v>37</v>
      </c>
      <c r="BG13">
        <v>57</v>
      </c>
      <c r="BH13">
        <v>44</v>
      </c>
      <c r="BI13">
        <v>67</v>
      </c>
      <c r="BJ13">
        <v>40</v>
      </c>
      <c r="BK13">
        <v>52</v>
      </c>
      <c r="BL13">
        <v>57</v>
      </c>
      <c r="BM13">
        <v>67</v>
      </c>
      <c r="BN13" s="4">
        <v>42</v>
      </c>
      <c r="BO13" s="4">
        <v>62</v>
      </c>
      <c r="BP13">
        <v>52</v>
      </c>
      <c r="BQ13">
        <v>47</v>
      </c>
      <c r="BR13">
        <v>63</v>
      </c>
      <c r="BS13" s="2">
        <f t="shared" si="0"/>
        <v>61</v>
      </c>
      <c r="BT13">
        <v>59</v>
      </c>
      <c r="BU13">
        <v>49</v>
      </c>
      <c r="BV13">
        <v>54</v>
      </c>
      <c r="BW13">
        <v>48</v>
      </c>
      <c r="BX13">
        <v>40</v>
      </c>
      <c r="BY13">
        <v>65</v>
      </c>
      <c r="BZ13">
        <v>57</v>
      </c>
      <c r="CA13">
        <v>61</v>
      </c>
      <c r="CB13">
        <v>54</v>
      </c>
      <c r="CC13">
        <v>40</v>
      </c>
      <c r="CD13">
        <v>58</v>
      </c>
      <c r="CE13">
        <v>53</v>
      </c>
      <c r="CF13">
        <v>37</v>
      </c>
      <c r="CG13">
        <v>50</v>
      </c>
      <c r="CH13">
        <v>42</v>
      </c>
      <c r="CI13">
        <v>54</v>
      </c>
      <c r="CJ13">
        <v>43</v>
      </c>
      <c r="CK13">
        <v>37</v>
      </c>
      <c r="CL13">
        <v>31</v>
      </c>
      <c r="CM13">
        <v>29</v>
      </c>
      <c r="CN13">
        <v>34</v>
      </c>
      <c r="CO13">
        <v>40</v>
      </c>
      <c r="CP13">
        <v>40</v>
      </c>
      <c r="CQ13">
        <v>35</v>
      </c>
      <c r="CR13">
        <v>45</v>
      </c>
      <c r="CS13">
        <v>39</v>
      </c>
      <c r="CT13">
        <v>37</v>
      </c>
      <c r="CU13">
        <v>31</v>
      </c>
      <c r="CV13">
        <v>31</v>
      </c>
      <c r="CW13">
        <v>39</v>
      </c>
      <c r="CX13">
        <v>44</v>
      </c>
      <c r="CY13">
        <v>33</v>
      </c>
      <c r="CZ13">
        <v>35</v>
      </c>
      <c r="DA13">
        <v>29</v>
      </c>
      <c r="DB13">
        <v>35</v>
      </c>
      <c r="DC13">
        <v>33</v>
      </c>
      <c r="DD13">
        <v>24</v>
      </c>
      <c r="DE13">
        <v>23</v>
      </c>
      <c r="DF13">
        <v>22</v>
      </c>
      <c r="DG13">
        <v>22</v>
      </c>
      <c r="DH13">
        <v>10</v>
      </c>
      <c r="DI13">
        <v>16</v>
      </c>
      <c r="DJ13">
        <v>27</v>
      </c>
      <c r="DK13">
        <v>18</v>
      </c>
      <c r="DL13">
        <v>19</v>
      </c>
      <c r="DM13">
        <v>16</v>
      </c>
      <c r="DN13">
        <v>18</v>
      </c>
      <c r="DO13">
        <v>13</v>
      </c>
      <c r="DP13">
        <v>12</v>
      </c>
      <c r="DQ13">
        <v>9</v>
      </c>
      <c r="DR13">
        <v>17</v>
      </c>
      <c r="DS13">
        <v>5</v>
      </c>
    </row>
    <row r="14" spans="1:123" x14ac:dyDescent="0.35">
      <c r="A14" t="s">
        <v>12</v>
      </c>
      <c r="B14">
        <v>128</v>
      </c>
      <c r="C14">
        <v>148</v>
      </c>
      <c r="D14">
        <v>149</v>
      </c>
      <c r="E14">
        <v>134</v>
      </c>
      <c r="F14" s="2">
        <f t="shared" si="1"/>
        <v>116.5</v>
      </c>
      <c r="G14">
        <v>99</v>
      </c>
      <c r="H14" s="2">
        <f t="shared" si="1"/>
        <v>119</v>
      </c>
      <c r="I14">
        <v>139</v>
      </c>
      <c r="J14">
        <v>174</v>
      </c>
      <c r="K14" s="2">
        <f t="shared" si="2"/>
        <v>159</v>
      </c>
      <c r="L14">
        <v>144</v>
      </c>
      <c r="M14">
        <v>186</v>
      </c>
      <c r="N14">
        <v>161</v>
      </c>
      <c r="O14">
        <v>148</v>
      </c>
      <c r="P14">
        <v>130</v>
      </c>
      <c r="Q14">
        <v>164</v>
      </c>
      <c r="R14">
        <v>218</v>
      </c>
      <c r="S14">
        <v>183</v>
      </c>
      <c r="T14">
        <v>159</v>
      </c>
      <c r="U14">
        <v>132</v>
      </c>
      <c r="V14">
        <v>169</v>
      </c>
      <c r="W14">
        <v>203</v>
      </c>
      <c r="X14">
        <v>113</v>
      </c>
      <c r="Y14">
        <v>125</v>
      </c>
      <c r="Z14">
        <v>157</v>
      </c>
      <c r="AA14">
        <v>148</v>
      </c>
      <c r="AB14">
        <v>150</v>
      </c>
      <c r="AC14">
        <v>104</v>
      </c>
      <c r="AD14">
        <v>138</v>
      </c>
      <c r="AE14">
        <v>105</v>
      </c>
      <c r="AF14">
        <v>124</v>
      </c>
      <c r="AG14">
        <f>9+8+1+5+6+2+14+12+18+16+1+2+6+10+1+24+23</f>
        <v>158</v>
      </c>
      <c r="AH14">
        <f>7+1+6+4+1+2+6+21+23+29+9+1+24+21</f>
        <v>155</v>
      </c>
      <c r="AI14">
        <f>2+2+1+7+5+4+4+29+26+5+7+1+1+15+17</f>
        <v>126</v>
      </c>
      <c r="AJ14">
        <v>136</v>
      </c>
      <c r="AK14">
        <v>175</v>
      </c>
      <c r="AL14">
        <v>101</v>
      </c>
      <c r="AM14">
        <v>126</v>
      </c>
      <c r="AN14">
        <v>148</v>
      </c>
      <c r="AO14">
        <v>119</v>
      </c>
      <c r="AP14">
        <v>122</v>
      </c>
      <c r="AQ14">
        <v>174</v>
      </c>
      <c r="AR14">
        <v>126</v>
      </c>
      <c r="AS14">
        <v>127</v>
      </c>
      <c r="AT14">
        <v>101</v>
      </c>
      <c r="AU14">
        <v>100</v>
      </c>
      <c r="AV14">
        <v>117</v>
      </c>
      <c r="AW14">
        <v>129</v>
      </c>
      <c r="AX14">
        <v>98</v>
      </c>
      <c r="AY14">
        <v>92</v>
      </c>
      <c r="AZ14" s="3">
        <v>116</v>
      </c>
      <c r="BA14" s="3">
        <v>111</v>
      </c>
      <c r="BB14" s="3">
        <v>107</v>
      </c>
      <c r="BC14" s="3">
        <v>145</v>
      </c>
      <c r="BD14" s="3">
        <v>113</v>
      </c>
      <c r="BE14">
        <v>84</v>
      </c>
      <c r="BF14">
        <v>122</v>
      </c>
      <c r="BG14">
        <v>166</v>
      </c>
      <c r="BH14">
        <v>134</v>
      </c>
      <c r="BI14">
        <v>143</v>
      </c>
      <c r="BJ14">
        <v>144</v>
      </c>
      <c r="BK14">
        <v>141</v>
      </c>
      <c r="BL14">
        <v>96</v>
      </c>
      <c r="BM14">
        <v>77</v>
      </c>
      <c r="BN14" s="4">
        <v>90</v>
      </c>
      <c r="BO14" s="4">
        <v>111</v>
      </c>
      <c r="BP14">
        <v>98</v>
      </c>
      <c r="BQ14">
        <v>98</v>
      </c>
      <c r="BR14">
        <v>82</v>
      </c>
      <c r="BS14" s="2">
        <f t="shared" si="0"/>
        <v>96</v>
      </c>
      <c r="BT14">
        <v>110</v>
      </c>
      <c r="BU14">
        <v>92</v>
      </c>
      <c r="BV14">
        <v>111</v>
      </c>
      <c r="BW14">
        <v>116</v>
      </c>
      <c r="BX14">
        <v>117</v>
      </c>
      <c r="BY14">
        <v>142</v>
      </c>
      <c r="BZ14">
        <v>104</v>
      </c>
      <c r="CA14">
        <v>119</v>
      </c>
      <c r="CB14">
        <v>100</v>
      </c>
      <c r="CC14">
        <v>109</v>
      </c>
      <c r="CD14">
        <v>82</v>
      </c>
      <c r="CE14">
        <v>69</v>
      </c>
      <c r="CF14">
        <v>61</v>
      </c>
      <c r="CG14">
        <v>60</v>
      </c>
      <c r="CH14">
        <v>63</v>
      </c>
      <c r="CI14">
        <v>77</v>
      </c>
      <c r="CJ14">
        <v>95</v>
      </c>
      <c r="CK14">
        <v>70</v>
      </c>
      <c r="CL14">
        <v>67</v>
      </c>
      <c r="CM14">
        <v>65</v>
      </c>
      <c r="CN14">
        <v>60</v>
      </c>
      <c r="CO14">
        <v>46</v>
      </c>
      <c r="CP14">
        <v>37</v>
      </c>
      <c r="CQ14">
        <v>45</v>
      </c>
      <c r="CR14">
        <v>47</v>
      </c>
      <c r="CS14">
        <v>57</v>
      </c>
      <c r="CT14">
        <v>46</v>
      </c>
      <c r="CU14">
        <v>31</v>
      </c>
      <c r="CV14">
        <v>34</v>
      </c>
      <c r="CW14">
        <v>35</v>
      </c>
      <c r="CX14">
        <v>29</v>
      </c>
      <c r="CY14">
        <v>28</v>
      </c>
      <c r="CZ14">
        <v>32</v>
      </c>
      <c r="DA14">
        <v>29</v>
      </c>
      <c r="DB14">
        <v>17</v>
      </c>
      <c r="DC14">
        <v>17</v>
      </c>
      <c r="DD14">
        <v>20</v>
      </c>
      <c r="DE14">
        <v>22</v>
      </c>
      <c r="DF14">
        <v>16</v>
      </c>
      <c r="DG14">
        <v>18</v>
      </c>
      <c r="DH14">
        <v>15</v>
      </c>
      <c r="DI14">
        <v>17</v>
      </c>
      <c r="DJ14">
        <v>14</v>
      </c>
      <c r="DK14">
        <v>18</v>
      </c>
      <c r="DL14">
        <v>8</v>
      </c>
      <c r="DM14">
        <v>16</v>
      </c>
      <c r="DN14">
        <v>11</v>
      </c>
      <c r="DO14">
        <v>9</v>
      </c>
      <c r="DP14">
        <v>10</v>
      </c>
      <c r="DQ14">
        <v>9</v>
      </c>
      <c r="DR14">
        <v>5</v>
      </c>
      <c r="DS14">
        <v>12</v>
      </c>
    </row>
    <row r="15" spans="1:123" x14ac:dyDescent="0.35">
      <c r="A15" t="s">
        <v>13</v>
      </c>
      <c r="B15">
        <v>67</v>
      </c>
      <c r="C15">
        <v>73</v>
      </c>
      <c r="D15">
        <v>66</v>
      </c>
      <c r="E15">
        <v>57</v>
      </c>
      <c r="F15" s="2">
        <f t="shared" si="1"/>
        <v>53.5</v>
      </c>
      <c r="G15">
        <v>50</v>
      </c>
      <c r="H15" s="2">
        <f t="shared" si="1"/>
        <v>56</v>
      </c>
      <c r="I15">
        <v>62</v>
      </c>
      <c r="J15">
        <v>68</v>
      </c>
      <c r="K15" s="2">
        <f t="shared" si="2"/>
        <v>68</v>
      </c>
      <c r="L15">
        <v>68</v>
      </c>
      <c r="M15">
        <v>85</v>
      </c>
      <c r="N15">
        <v>85</v>
      </c>
      <c r="O15">
        <v>70</v>
      </c>
      <c r="P15">
        <v>67</v>
      </c>
      <c r="Q15">
        <v>64</v>
      </c>
      <c r="R15">
        <v>126</v>
      </c>
      <c r="S15">
        <v>107</v>
      </c>
      <c r="T15">
        <v>126</v>
      </c>
      <c r="U15">
        <v>77</v>
      </c>
      <c r="V15">
        <v>71</v>
      </c>
      <c r="W15">
        <v>56</v>
      </c>
      <c r="X15" s="2">
        <v>68</v>
      </c>
      <c r="Y15">
        <v>73</v>
      </c>
      <c r="Z15">
        <v>90</v>
      </c>
      <c r="AA15">
        <v>104</v>
      </c>
      <c r="AB15">
        <v>71</v>
      </c>
      <c r="AC15">
        <v>68</v>
      </c>
      <c r="AD15">
        <v>101</v>
      </c>
      <c r="AE15">
        <v>77</v>
      </c>
      <c r="AF15">
        <v>79</v>
      </c>
      <c r="AG15">
        <f>1+2+2+1+3+15+11+4+7+1+16+20</f>
        <v>83</v>
      </c>
      <c r="AH15">
        <f>6+4+1+6+8+11+8+1+4+3+8+8</f>
        <v>68</v>
      </c>
      <c r="AI15">
        <f>2+1+2+2+2+10+5+1+1+3+4+14+9</f>
        <v>56</v>
      </c>
      <c r="AJ15">
        <v>63</v>
      </c>
      <c r="AK15">
        <v>72</v>
      </c>
      <c r="AL15">
        <v>73</v>
      </c>
      <c r="AM15">
        <v>80</v>
      </c>
      <c r="AN15">
        <v>107</v>
      </c>
      <c r="AO15">
        <v>63</v>
      </c>
      <c r="AP15">
        <v>96</v>
      </c>
      <c r="AQ15">
        <v>72</v>
      </c>
      <c r="AR15">
        <v>127</v>
      </c>
      <c r="AS15">
        <v>72</v>
      </c>
      <c r="AT15">
        <v>76</v>
      </c>
      <c r="AU15">
        <v>82</v>
      </c>
      <c r="AV15">
        <v>76</v>
      </c>
      <c r="AW15">
        <v>62</v>
      </c>
      <c r="AX15">
        <v>41</v>
      </c>
      <c r="AY15">
        <v>55</v>
      </c>
      <c r="AZ15" s="3">
        <v>71</v>
      </c>
      <c r="BA15" s="3">
        <v>72</v>
      </c>
      <c r="BB15" s="3">
        <v>71</v>
      </c>
      <c r="BC15" s="3">
        <v>75</v>
      </c>
      <c r="BD15" s="3">
        <v>56</v>
      </c>
      <c r="BE15">
        <v>54</v>
      </c>
      <c r="BF15">
        <v>57</v>
      </c>
      <c r="BG15">
        <v>67</v>
      </c>
      <c r="BH15">
        <v>47</v>
      </c>
      <c r="BI15">
        <v>76</v>
      </c>
      <c r="BJ15">
        <v>77</v>
      </c>
      <c r="BK15">
        <v>59</v>
      </c>
      <c r="BL15">
        <v>64</v>
      </c>
      <c r="BM15">
        <v>66</v>
      </c>
      <c r="BN15" s="4">
        <v>62</v>
      </c>
      <c r="BO15" s="4">
        <v>91</v>
      </c>
      <c r="BP15">
        <v>50</v>
      </c>
      <c r="BQ15">
        <v>60</v>
      </c>
      <c r="BR15">
        <v>62</v>
      </c>
      <c r="BS15" s="2">
        <f t="shared" si="0"/>
        <v>55</v>
      </c>
      <c r="BT15">
        <v>48</v>
      </c>
      <c r="BU15">
        <v>57</v>
      </c>
      <c r="BV15">
        <v>52</v>
      </c>
      <c r="BW15">
        <v>57</v>
      </c>
      <c r="BX15">
        <v>57</v>
      </c>
      <c r="BY15">
        <v>59</v>
      </c>
      <c r="BZ15">
        <v>59</v>
      </c>
      <c r="CA15">
        <v>47</v>
      </c>
      <c r="CB15">
        <v>34</v>
      </c>
      <c r="CC15">
        <v>46</v>
      </c>
      <c r="CD15">
        <v>33</v>
      </c>
      <c r="CE15">
        <v>28</v>
      </c>
      <c r="CF15">
        <v>30</v>
      </c>
      <c r="CG15">
        <v>28</v>
      </c>
      <c r="CH15">
        <v>28</v>
      </c>
      <c r="CI15">
        <v>35</v>
      </c>
      <c r="CJ15">
        <v>24</v>
      </c>
      <c r="CK15">
        <v>28</v>
      </c>
      <c r="CL15">
        <v>20</v>
      </c>
      <c r="CM15">
        <v>30</v>
      </c>
      <c r="CN15">
        <v>26</v>
      </c>
      <c r="CO15">
        <v>10</v>
      </c>
      <c r="CP15">
        <v>22</v>
      </c>
      <c r="CQ15">
        <v>13</v>
      </c>
      <c r="CR15">
        <v>13</v>
      </c>
      <c r="CS15">
        <v>28</v>
      </c>
      <c r="CT15">
        <v>11</v>
      </c>
      <c r="CU15">
        <v>19</v>
      </c>
      <c r="CV15">
        <v>16</v>
      </c>
      <c r="CW15">
        <v>8</v>
      </c>
      <c r="CX15">
        <v>13</v>
      </c>
      <c r="CY15">
        <v>11</v>
      </c>
      <c r="CZ15">
        <v>11</v>
      </c>
      <c r="DA15">
        <v>18</v>
      </c>
      <c r="DB15">
        <v>12</v>
      </c>
      <c r="DC15">
        <v>11</v>
      </c>
      <c r="DD15">
        <v>10</v>
      </c>
      <c r="DE15">
        <v>5</v>
      </c>
      <c r="DF15">
        <v>7</v>
      </c>
      <c r="DG15">
        <v>4</v>
      </c>
      <c r="DH15">
        <v>11</v>
      </c>
      <c r="DI15">
        <v>9</v>
      </c>
      <c r="DJ15">
        <v>7</v>
      </c>
      <c r="DK15">
        <v>12</v>
      </c>
      <c r="DL15">
        <v>7</v>
      </c>
      <c r="DM15">
        <v>4</v>
      </c>
      <c r="DN15">
        <v>8</v>
      </c>
      <c r="DO15">
        <v>1</v>
      </c>
      <c r="DP15">
        <v>0</v>
      </c>
      <c r="DQ15">
        <v>5</v>
      </c>
      <c r="DR15">
        <v>3</v>
      </c>
      <c r="DS15">
        <v>1</v>
      </c>
    </row>
    <row r="16" spans="1:123" x14ac:dyDescent="0.35">
      <c r="A16" t="s">
        <v>14</v>
      </c>
      <c r="B16">
        <v>109</v>
      </c>
      <c r="C16">
        <v>83</v>
      </c>
      <c r="D16">
        <v>124</v>
      </c>
      <c r="E16">
        <v>102</v>
      </c>
      <c r="F16" s="2">
        <f t="shared" si="1"/>
        <v>100</v>
      </c>
      <c r="G16">
        <v>98</v>
      </c>
      <c r="H16" s="2">
        <f t="shared" si="1"/>
        <v>107.5</v>
      </c>
      <c r="I16">
        <v>117</v>
      </c>
      <c r="J16">
        <v>129</v>
      </c>
      <c r="K16" s="2">
        <f t="shared" si="2"/>
        <v>128.5</v>
      </c>
      <c r="L16">
        <v>128</v>
      </c>
      <c r="M16">
        <v>229</v>
      </c>
      <c r="N16">
        <v>234</v>
      </c>
      <c r="O16">
        <v>186</v>
      </c>
      <c r="P16">
        <v>186</v>
      </c>
      <c r="Q16">
        <v>210</v>
      </c>
      <c r="R16">
        <v>194</v>
      </c>
      <c r="S16">
        <v>174</v>
      </c>
      <c r="T16">
        <v>209</v>
      </c>
      <c r="U16">
        <v>208</v>
      </c>
      <c r="V16">
        <v>252</v>
      </c>
      <c r="W16">
        <v>217</v>
      </c>
      <c r="X16" s="2">
        <v>166</v>
      </c>
      <c r="Y16">
        <v>218</v>
      </c>
      <c r="Z16">
        <v>213</v>
      </c>
      <c r="AA16">
        <v>256</v>
      </c>
      <c r="AB16">
        <v>199</v>
      </c>
      <c r="AC16">
        <v>208</v>
      </c>
      <c r="AD16">
        <v>248</v>
      </c>
      <c r="AE16">
        <v>244</v>
      </c>
      <c r="AF16">
        <v>217</v>
      </c>
      <c r="AG16">
        <f>10+12+1+10+11+1+21+14+25+26+1+3+10+5+67+59</f>
        <v>276</v>
      </c>
      <c r="AH16">
        <f>11+12+4+5+6+7+30+22+2+6+7+48+59</f>
        <v>219</v>
      </c>
      <c r="AI16">
        <f>12+10+7+6+1+12+6+26+19+1+2+1+7+7+44+40</f>
        <v>201</v>
      </c>
      <c r="AJ16">
        <v>274</v>
      </c>
      <c r="AK16">
        <v>211</v>
      </c>
      <c r="AL16">
        <v>198</v>
      </c>
      <c r="AM16">
        <v>254</v>
      </c>
      <c r="AN16">
        <v>210</v>
      </c>
      <c r="AO16">
        <v>229</v>
      </c>
      <c r="AP16">
        <v>209</v>
      </c>
      <c r="AQ16">
        <v>250</v>
      </c>
      <c r="AR16">
        <v>280</v>
      </c>
      <c r="AS16">
        <v>240</v>
      </c>
      <c r="AT16">
        <v>192</v>
      </c>
      <c r="AU16">
        <v>248</v>
      </c>
      <c r="AV16">
        <v>191</v>
      </c>
      <c r="AW16">
        <v>196</v>
      </c>
      <c r="AX16">
        <v>173</v>
      </c>
      <c r="AY16">
        <v>187</v>
      </c>
      <c r="AZ16" s="3">
        <v>209</v>
      </c>
      <c r="BA16" s="3">
        <v>196</v>
      </c>
      <c r="BB16" s="3">
        <v>136</v>
      </c>
      <c r="BC16" s="3">
        <v>147</v>
      </c>
      <c r="BD16" s="3">
        <v>167</v>
      </c>
      <c r="BE16">
        <v>190</v>
      </c>
      <c r="BF16">
        <v>143</v>
      </c>
      <c r="BG16">
        <v>165</v>
      </c>
      <c r="BH16">
        <v>199</v>
      </c>
      <c r="BI16">
        <v>174</v>
      </c>
      <c r="BJ16">
        <v>166</v>
      </c>
      <c r="BK16">
        <v>149</v>
      </c>
      <c r="BL16">
        <v>143</v>
      </c>
      <c r="BM16">
        <v>101</v>
      </c>
      <c r="BN16" s="4">
        <v>156</v>
      </c>
      <c r="BO16" s="4">
        <v>154</v>
      </c>
      <c r="BP16">
        <v>115</v>
      </c>
      <c r="BQ16">
        <v>153</v>
      </c>
      <c r="BR16">
        <v>115</v>
      </c>
      <c r="BS16" s="2">
        <f t="shared" si="0"/>
        <v>97</v>
      </c>
      <c r="BT16">
        <v>79</v>
      </c>
      <c r="BU16">
        <v>107</v>
      </c>
      <c r="BV16">
        <v>88</v>
      </c>
      <c r="BW16">
        <v>102</v>
      </c>
      <c r="BX16">
        <v>82</v>
      </c>
      <c r="BY16">
        <v>65</v>
      </c>
      <c r="BZ16">
        <v>96</v>
      </c>
      <c r="CA16">
        <v>103</v>
      </c>
      <c r="CB16">
        <v>70</v>
      </c>
      <c r="CC16">
        <v>66</v>
      </c>
      <c r="CD16">
        <v>41</v>
      </c>
      <c r="CE16">
        <v>53</v>
      </c>
      <c r="CF16">
        <v>51</v>
      </c>
      <c r="CG16">
        <v>48</v>
      </c>
      <c r="CH16">
        <v>62</v>
      </c>
      <c r="CI16">
        <v>60</v>
      </c>
      <c r="CJ16">
        <v>45</v>
      </c>
      <c r="CK16">
        <v>56</v>
      </c>
      <c r="CL16">
        <v>61</v>
      </c>
      <c r="CM16">
        <v>46</v>
      </c>
      <c r="CN16">
        <v>58</v>
      </c>
      <c r="CO16">
        <v>64</v>
      </c>
      <c r="CP16">
        <v>43</v>
      </c>
      <c r="CQ16">
        <v>66</v>
      </c>
      <c r="CR16">
        <v>57</v>
      </c>
      <c r="CS16">
        <v>59</v>
      </c>
      <c r="CT16">
        <v>53</v>
      </c>
      <c r="CU16">
        <v>37</v>
      </c>
      <c r="CV16">
        <v>49</v>
      </c>
      <c r="CW16">
        <v>36</v>
      </c>
      <c r="CX16">
        <v>32</v>
      </c>
      <c r="CY16">
        <v>29</v>
      </c>
      <c r="CZ16">
        <v>28</v>
      </c>
      <c r="DA16">
        <v>27</v>
      </c>
      <c r="DB16">
        <v>28</v>
      </c>
      <c r="DC16">
        <v>20</v>
      </c>
      <c r="DD16">
        <v>28</v>
      </c>
      <c r="DE16">
        <v>20</v>
      </c>
      <c r="DF16">
        <v>19</v>
      </c>
      <c r="DG16">
        <v>13</v>
      </c>
      <c r="DH16">
        <v>12</v>
      </c>
      <c r="DI16">
        <v>17</v>
      </c>
      <c r="DJ16">
        <v>22</v>
      </c>
      <c r="DK16">
        <v>10</v>
      </c>
      <c r="DL16">
        <v>16</v>
      </c>
      <c r="DM16">
        <v>14</v>
      </c>
      <c r="DN16">
        <v>11</v>
      </c>
      <c r="DO16">
        <v>12</v>
      </c>
      <c r="DP16">
        <v>12</v>
      </c>
      <c r="DQ16">
        <v>10</v>
      </c>
      <c r="DR16">
        <v>7</v>
      </c>
      <c r="DS16">
        <v>7</v>
      </c>
    </row>
    <row r="17" spans="1:123" x14ac:dyDescent="0.35">
      <c r="A17" t="s">
        <v>15</v>
      </c>
      <c r="B17">
        <v>108</v>
      </c>
      <c r="C17">
        <v>101</v>
      </c>
      <c r="D17">
        <v>105</v>
      </c>
      <c r="E17">
        <v>157</v>
      </c>
      <c r="F17" s="2">
        <f t="shared" si="1"/>
        <v>135</v>
      </c>
      <c r="G17">
        <v>113</v>
      </c>
      <c r="H17" s="2">
        <f t="shared" si="1"/>
        <v>120</v>
      </c>
      <c r="I17">
        <v>127</v>
      </c>
      <c r="J17">
        <v>127</v>
      </c>
      <c r="K17" s="2">
        <f t="shared" si="2"/>
        <v>114</v>
      </c>
      <c r="L17">
        <v>101</v>
      </c>
      <c r="M17">
        <v>120</v>
      </c>
      <c r="N17">
        <v>134</v>
      </c>
      <c r="O17">
        <v>141</v>
      </c>
      <c r="P17">
        <v>109</v>
      </c>
      <c r="Q17">
        <v>129</v>
      </c>
      <c r="R17">
        <v>173</v>
      </c>
      <c r="S17">
        <v>138</v>
      </c>
      <c r="T17">
        <v>130</v>
      </c>
      <c r="U17">
        <v>134</v>
      </c>
      <c r="V17">
        <v>146</v>
      </c>
      <c r="W17">
        <v>162</v>
      </c>
      <c r="X17" s="2">
        <f>67+68</f>
        <v>135</v>
      </c>
      <c r="Y17">
        <v>107</v>
      </c>
      <c r="Z17">
        <v>181</v>
      </c>
      <c r="AA17">
        <v>164</v>
      </c>
      <c r="AB17">
        <v>126</v>
      </c>
      <c r="AC17">
        <v>160</v>
      </c>
      <c r="AD17">
        <v>215</v>
      </c>
      <c r="AE17">
        <v>151</v>
      </c>
      <c r="AF17">
        <v>160</v>
      </c>
      <c r="AG17">
        <f>5+4+9+11+1+10+4+31+30+5+4+15+19</f>
        <v>148</v>
      </c>
      <c r="AH17">
        <f>1+1+5+2+10+8+21+32+3+4+8+3+1+15+14</f>
        <v>128</v>
      </c>
      <c r="AI17">
        <f>4+5+1+4+1+12+7+12+12+1+2+4+10+2+25+25</f>
        <v>127</v>
      </c>
      <c r="AJ17">
        <v>103</v>
      </c>
      <c r="AK17">
        <v>107</v>
      </c>
      <c r="AL17">
        <v>99</v>
      </c>
      <c r="AM17">
        <v>87</v>
      </c>
      <c r="AN17">
        <v>97</v>
      </c>
      <c r="AO17">
        <v>85</v>
      </c>
      <c r="AP17">
        <v>76</v>
      </c>
      <c r="AQ17">
        <v>68</v>
      </c>
      <c r="AR17">
        <v>106</v>
      </c>
      <c r="AS17">
        <v>67</v>
      </c>
      <c r="AT17">
        <v>91</v>
      </c>
      <c r="AU17">
        <v>65</v>
      </c>
      <c r="AV17">
        <v>54</v>
      </c>
      <c r="AW17">
        <v>82</v>
      </c>
      <c r="AX17">
        <v>76</v>
      </c>
      <c r="AY17">
        <v>56</v>
      </c>
      <c r="AZ17" s="3">
        <v>69</v>
      </c>
      <c r="BA17" s="3">
        <v>46</v>
      </c>
      <c r="BB17" s="3">
        <v>59</v>
      </c>
      <c r="BC17" s="3">
        <v>42</v>
      </c>
      <c r="BD17" s="3">
        <v>66</v>
      </c>
      <c r="BE17">
        <v>68</v>
      </c>
      <c r="BF17">
        <v>57</v>
      </c>
      <c r="BG17">
        <v>46</v>
      </c>
      <c r="BH17">
        <v>42</v>
      </c>
      <c r="BI17">
        <v>60</v>
      </c>
      <c r="BJ17">
        <v>46</v>
      </c>
      <c r="BK17">
        <v>35</v>
      </c>
      <c r="BL17">
        <v>47</v>
      </c>
      <c r="BM17">
        <v>53</v>
      </c>
      <c r="BN17" s="4">
        <v>47</v>
      </c>
      <c r="BO17" s="4">
        <f t="shared" ref="BO17" si="3">+(BN17+BP17)/2</f>
        <v>41</v>
      </c>
      <c r="BP17">
        <v>35</v>
      </c>
      <c r="BQ17">
        <v>54</v>
      </c>
      <c r="BR17">
        <v>46</v>
      </c>
      <c r="BS17" s="2">
        <f t="shared" si="0"/>
        <v>45</v>
      </c>
      <c r="BT17">
        <v>44</v>
      </c>
      <c r="BU17">
        <v>44</v>
      </c>
      <c r="BV17">
        <v>40</v>
      </c>
      <c r="BW17">
        <v>42</v>
      </c>
      <c r="BX17">
        <v>53</v>
      </c>
      <c r="BY17">
        <v>51</v>
      </c>
      <c r="BZ17">
        <v>50</v>
      </c>
      <c r="CA17">
        <v>55</v>
      </c>
      <c r="CB17">
        <v>47</v>
      </c>
      <c r="CC17">
        <v>35</v>
      </c>
      <c r="CD17">
        <v>28</v>
      </c>
      <c r="CE17">
        <v>28</v>
      </c>
      <c r="CF17">
        <v>36</v>
      </c>
      <c r="CG17">
        <v>25</v>
      </c>
      <c r="CH17">
        <v>31</v>
      </c>
      <c r="CI17">
        <v>47</v>
      </c>
      <c r="CJ17">
        <v>32</v>
      </c>
      <c r="CK17">
        <v>31</v>
      </c>
      <c r="CL17">
        <v>19</v>
      </c>
      <c r="CM17">
        <v>26</v>
      </c>
      <c r="CN17">
        <v>18</v>
      </c>
      <c r="CO17">
        <v>33</v>
      </c>
      <c r="CP17">
        <v>31</v>
      </c>
      <c r="CQ17">
        <v>26</v>
      </c>
      <c r="CR17">
        <v>15</v>
      </c>
      <c r="CS17">
        <v>27</v>
      </c>
      <c r="CT17">
        <v>29</v>
      </c>
      <c r="CU17">
        <v>26</v>
      </c>
      <c r="CV17">
        <v>17</v>
      </c>
      <c r="CW17">
        <v>20</v>
      </c>
      <c r="CX17">
        <v>15</v>
      </c>
      <c r="CY17">
        <v>12</v>
      </c>
      <c r="CZ17">
        <v>16</v>
      </c>
      <c r="DA17">
        <v>15</v>
      </c>
      <c r="DB17">
        <v>20</v>
      </c>
      <c r="DC17">
        <v>13</v>
      </c>
      <c r="DD17">
        <v>8</v>
      </c>
      <c r="DE17">
        <v>9</v>
      </c>
      <c r="DF17">
        <v>12</v>
      </c>
      <c r="DG17">
        <v>10</v>
      </c>
      <c r="DH17">
        <v>9</v>
      </c>
      <c r="DI17">
        <v>5</v>
      </c>
      <c r="DJ17">
        <v>11</v>
      </c>
      <c r="DK17">
        <v>12</v>
      </c>
      <c r="DL17">
        <v>10</v>
      </c>
      <c r="DM17">
        <v>5</v>
      </c>
      <c r="DN17">
        <v>8</v>
      </c>
      <c r="DO17">
        <v>7</v>
      </c>
      <c r="DP17">
        <v>3</v>
      </c>
      <c r="DQ17">
        <v>8</v>
      </c>
      <c r="DR17">
        <v>3</v>
      </c>
      <c r="DS17">
        <v>6</v>
      </c>
    </row>
    <row r="18" spans="1:123" x14ac:dyDescent="0.35">
      <c r="A18" t="s">
        <v>16</v>
      </c>
      <c r="B18">
        <v>163</v>
      </c>
      <c r="C18">
        <v>161</v>
      </c>
      <c r="D18">
        <v>192</v>
      </c>
      <c r="E18">
        <v>230</v>
      </c>
      <c r="F18" s="2">
        <f t="shared" si="1"/>
        <v>193</v>
      </c>
      <c r="G18">
        <v>156</v>
      </c>
      <c r="H18" s="2">
        <f t="shared" si="1"/>
        <v>202</v>
      </c>
      <c r="I18">
        <v>248</v>
      </c>
      <c r="J18">
        <v>218</v>
      </c>
      <c r="K18" s="2">
        <f t="shared" si="2"/>
        <v>205</v>
      </c>
      <c r="L18">
        <v>192</v>
      </c>
      <c r="M18">
        <v>185</v>
      </c>
      <c r="N18">
        <v>226</v>
      </c>
      <c r="O18">
        <v>178</v>
      </c>
      <c r="P18">
        <v>217</v>
      </c>
      <c r="Q18">
        <v>202</v>
      </c>
      <c r="R18">
        <v>314</v>
      </c>
      <c r="S18">
        <v>194</v>
      </c>
      <c r="T18">
        <v>287</v>
      </c>
      <c r="U18">
        <v>234</v>
      </c>
      <c r="V18">
        <v>215</v>
      </c>
      <c r="W18">
        <v>230</v>
      </c>
      <c r="X18" s="2">
        <v>143</v>
      </c>
      <c r="Y18">
        <v>201</v>
      </c>
      <c r="Z18">
        <v>227</v>
      </c>
      <c r="AA18">
        <v>195</v>
      </c>
      <c r="AB18">
        <v>213</v>
      </c>
      <c r="AC18">
        <v>259</v>
      </c>
      <c r="AD18">
        <v>200</v>
      </c>
      <c r="AE18">
        <v>179</v>
      </c>
      <c r="AF18">
        <v>258</v>
      </c>
      <c r="AG18">
        <f>8+7+2+4+19+23+32+31+1+15+6+57+49</f>
        <v>254</v>
      </c>
      <c r="AH18">
        <f>6+10+6+4+6+6+52+47+1+1+6+7+39+40</f>
        <v>231</v>
      </c>
      <c r="AI18">
        <f>7+4+2+7+7+5+34+35+1+2+3+14+11+40+36</f>
        <v>208</v>
      </c>
      <c r="AJ18">
        <v>208</v>
      </c>
      <c r="AK18">
        <v>270</v>
      </c>
      <c r="AL18">
        <v>243</v>
      </c>
      <c r="AM18">
        <v>188</v>
      </c>
      <c r="AN18">
        <v>239</v>
      </c>
      <c r="AO18">
        <v>151</v>
      </c>
      <c r="AP18">
        <v>165</v>
      </c>
      <c r="AQ18">
        <v>223</v>
      </c>
      <c r="AR18">
        <v>196</v>
      </c>
      <c r="AS18">
        <v>206</v>
      </c>
      <c r="AT18">
        <v>194</v>
      </c>
      <c r="AU18">
        <v>158</v>
      </c>
      <c r="AV18">
        <v>144</v>
      </c>
      <c r="AW18">
        <v>179</v>
      </c>
      <c r="AX18">
        <v>205</v>
      </c>
      <c r="AY18">
        <v>117</v>
      </c>
      <c r="AZ18" s="3">
        <v>162</v>
      </c>
      <c r="BA18" s="3">
        <v>213</v>
      </c>
      <c r="BB18" s="3">
        <v>159</v>
      </c>
      <c r="BC18" s="3">
        <v>145</v>
      </c>
      <c r="BD18" s="3">
        <v>136</v>
      </c>
      <c r="BE18">
        <v>140</v>
      </c>
      <c r="BF18">
        <v>177</v>
      </c>
      <c r="BG18">
        <v>196</v>
      </c>
      <c r="BH18">
        <v>119</v>
      </c>
      <c r="BI18">
        <v>194</v>
      </c>
      <c r="BJ18">
        <v>235</v>
      </c>
      <c r="BK18">
        <v>174</v>
      </c>
      <c r="BL18">
        <v>190</v>
      </c>
      <c r="BM18">
        <v>140</v>
      </c>
      <c r="BN18" s="4">
        <v>174</v>
      </c>
      <c r="BO18" s="4">
        <v>179</v>
      </c>
      <c r="BP18">
        <v>177</v>
      </c>
      <c r="BQ18">
        <v>135</v>
      </c>
      <c r="BR18">
        <v>164</v>
      </c>
      <c r="BS18" s="2">
        <f t="shared" si="0"/>
        <v>167.5</v>
      </c>
      <c r="BT18">
        <v>171</v>
      </c>
      <c r="BU18">
        <v>127</v>
      </c>
      <c r="BV18">
        <v>161</v>
      </c>
      <c r="BW18">
        <v>205</v>
      </c>
      <c r="BX18">
        <v>178</v>
      </c>
      <c r="BY18">
        <v>158</v>
      </c>
      <c r="BZ18">
        <v>148</v>
      </c>
      <c r="CA18">
        <v>165</v>
      </c>
      <c r="CB18">
        <v>176</v>
      </c>
      <c r="CC18">
        <v>173</v>
      </c>
      <c r="CD18">
        <v>137</v>
      </c>
      <c r="CE18">
        <v>81</v>
      </c>
      <c r="CF18">
        <v>70</v>
      </c>
      <c r="CG18">
        <v>91</v>
      </c>
      <c r="CH18">
        <v>73</v>
      </c>
      <c r="CI18">
        <v>83</v>
      </c>
      <c r="CJ18">
        <v>82</v>
      </c>
      <c r="CK18">
        <v>59</v>
      </c>
      <c r="CL18">
        <v>45</v>
      </c>
      <c r="CM18">
        <v>55</v>
      </c>
      <c r="CN18">
        <v>57</v>
      </c>
      <c r="CO18">
        <v>56</v>
      </c>
      <c r="CP18">
        <v>38</v>
      </c>
      <c r="CQ18">
        <v>66</v>
      </c>
      <c r="CR18">
        <v>48</v>
      </c>
      <c r="CS18">
        <v>58</v>
      </c>
      <c r="CT18">
        <v>48</v>
      </c>
      <c r="CU18">
        <v>64</v>
      </c>
      <c r="CV18">
        <v>57</v>
      </c>
      <c r="CW18">
        <v>49</v>
      </c>
      <c r="CX18">
        <v>36</v>
      </c>
      <c r="CY18">
        <v>53</v>
      </c>
      <c r="CZ18">
        <v>36</v>
      </c>
      <c r="DA18">
        <v>48</v>
      </c>
      <c r="DB18">
        <v>25</v>
      </c>
      <c r="DC18">
        <v>38</v>
      </c>
      <c r="DD18">
        <v>17</v>
      </c>
      <c r="DE18">
        <v>25</v>
      </c>
      <c r="DF18">
        <v>30</v>
      </c>
      <c r="DG18">
        <v>27</v>
      </c>
      <c r="DH18">
        <v>22</v>
      </c>
      <c r="DI18">
        <v>27</v>
      </c>
      <c r="DJ18">
        <v>29</v>
      </c>
      <c r="DK18">
        <v>23</v>
      </c>
      <c r="DL18">
        <v>10</v>
      </c>
      <c r="DM18">
        <v>18</v>
      </c>
      <c r="DN18">
        <v>24</v>
      </c>
      <c r="DO18">
        <v>16</v>
      </c>
      <c r="DP18">
        <v>15</v>
      </c>
      <c r="DQ18">
        <v>18</v>
      </c>
      <c r="DR18">
        <v>5</v>
      </c>
      <c r="DS18">
        <v>11</v>
      </c>
    </row>
    <row r="19" spans="1:123" x14ac:dyDescent="0.35">
      <c r="A19" t="s">
        <v>17</v>
      </c>
      <c r="B19">
        <v>168</v>
      </c>
      <c r="C19">
        <v>156</v>
      </c>
      <c r="D19">
        <v>139</v>
      </c>
      <c r="E19">
        <v>151</v>
      </c>
      <c r="F19" s="2">
        <f t="shared" si="1"/>
        <v>144.5</v>
      </c>
      <c r="G19">
        <v>138</v>
      </c>
      <c r="H19" s="2">
        <f t="shared" si="1"/>
        <v>157.5</v>
      </c>
      <c r="I19">
        <v>177</v>
      </c>
      <c r="J19">
        <v>156</v>
      </c>
      <c r="K19" s="2">
        <f t="shared" si="2"/>
        <v>172</v>
      </c>
      <c r="L19">
        <v>188</v>
      </c>
      <c r="M19">
        <v>187</v>
      </c>
      <c r="N19">
        <v>159</v>
      </c>
      <c r="O19">
        <v>137</v>
      </c>
      <c r="P19">
        <v>126</v>
      </c>
      <c r="Q19">
        <v>153</v>
      </c>
      <c r="R19">
        <v>194</v>
      </c>
      <c r="S19">
        <v>148</v>
      </c>
      <c r="T19">
        <v>154</v>
      </c>
      <c r="U19">
        <v>143</v>
      </c>
      <c r="V19">
        <v>194</v>
      </c>
      <c r="W19">
        <v>143</v>
      </c>
      <c r="X19" s="2">
        <f>77+56</f>
        <v>133</v>
      </c>
      <c r="Y19">
        <v>137</v>
      </c>
      <c r="Z19">
        <v>150</v>
      </c>
      <c r="AA19">
        <v>179</v>
      </c>
      <c r="AB19">
        <v>137</v>
      </c>
      <c r="AC19">
        <v>161</v>
      </c>
      <c r="AD19">
        <v>146</v>
      </c>
      <c r="AE19">
        <v>123</v>
      </c>
      <c r="AF19">
        <v>130</v>
      </c>
      <c r="AG19">
        <f>6+5+1+3+1+1+8+13+30+19+1+2+1+5+1+9+17</f>
        <v>123</v>
      </c>
      <c r="AH19">
        <f>1+2+4+1+1+3+2+12+12+2+3+1+31+20</f>
        <v>95</v>
      </c>
      <c r="AI19">
        <f>4+4+1+4+1+13+4+26+21+1+1+1+11+7+1+2+8+10</f>
        <v>120</v>
      </c>
      <c r="AJ19">
        <v>122</v>
      </c>
      <c r="AK19">
        <v>111</v>
      </c>
      <c r="AL19">
        <v>130</v>
      </c>
      <c r="AM19">
        <v>111</v>
      </c>
      <c r="AN19">
        <v>131</v>
      </c>
      <c r="AO19">
        <v>100</v>
      </c>
      <c r="AP19">
        <v>92</v>
      </c>
      <c r="AQ19">
        <v>109</v>
      </c>
      <c r="AR19">
        <v>107</v>
      </c>
      <c r="AS19">
        <v>67</v>
      </c>
      <c r="AT19">
        <v>75</v>
      </c>
      <c r="AU19">
        <v>56</v>
      </c>
      <c r="AV19">
        <v>63</v>
      </c>
      <c r="AW19">
        <v>86</v>
      </c>
      <c r="AX19">
        <v>83</v>
      </c>
      <c r="AY19">
        <v>82</v>
      </c>
      <c r="AZ19" s="3">
        <v>93</v>
      </c>
      <c r="BA19" s="3">
        <v>57</v>
      </c>
      <c r="BB19" s="3">
        <v>53</v>
      </c>
      <c r="BC19" s="3">
        <v>69</v>
      </c>
      <c r="BD19" s="3">
        <v>59</v>
      </c>
      <c r="BE19">
        <v>72</v>
      </c>
      <c r="BF19">
        <v>65</v>
      </c>
      <c r="BG19">
        <v>97</v>
      </c>
      <c r="BH19">
        <v>62</v>
      </c>
      <c r="BI19">
        <v>108</v>
      </c>
      <c r="BJ19">
        <v>58</v>
      </c>
      <c r="BK19">
        <v>59</v>
      </c>
      <c r="BL19">
        <v>55</v>
      </c>
      <c r="BM19">
        <v>67</v>
      </c>
      <c r="BN19" s="4">
        <v>49</v>
      </c>
      <c r="BO19" s="4">
        <v>77</v>
      </c>
      <c r="BP19">
        <v>53</v>
      </c>
      <c r="BQ19">
        <v>70</v>
      </c>
      <c r="BR19">
        <v>77</v>
      </c>
      <c r="BS19" s="2">
        <f t="shared" si="0"/>
        <v>69</v>
      </c>
      <c r="BT19">
        <v>61</v>
      </c>
      <c r="BU19">
        <v>56</v>
      </c>
      <c r="BV19">
        <v>68</v>
      </c>
      <c r="BW19">
        <v>79</v>
      </c>
      <c r="BX19">
        <v>53</v>
      </c>
      <c r="BY19">
        <v>68</v>
      </c>
      <c r="BZ19">
        <v>79</v>
      </c>
      <c r="CA19">
        <v>57</v>
      </c>
      <c r="CB19">
        <v>53</v>
      </c>
      <c r="CC19">
        <v>57</v>
      </c>
      <c r="CD19">
        <v>49</v>
      </c>
      <c r="CE19">
        <v>41</v>
      </c>
      <c r="CF19">
        <v>54</v>
      </c>
      <c r="CG19">
        <v>62</v>
      </c>
      <c r="CH19">
        <v>39</v>
      </c>
      <c r="CI19">
        <v>48</v>
      </c>
      <c r="CJ19">
        <v>34</v>
      </c>
      <c r="CK19">
        <v>34</v>
      </c>
      <c r="CL19">
        <v>24</v>
      </c>
      <c r="CM19">
        <v>33</v>
      </c>
      <c r="CN19">
        <v>42</v>
      </c>
      <c r="CO19">
        <v>35</v>
      </c>
      <c r="CP19">
        <v>25</v>
      </c>
      <c r="CQ19">
        <v>26</v>
      </c>
      <c r="CR19">
        <v>29</v>
      </c>
      <c r="CS19">
        <v>27</v>
      </c>
      <c r="CT19">
        <v>34</v>
      </c>
      <c r="CU19">
        <v>18</v>
      </c>
      <c r="CV19">
        <v>26</v>
      </c>
      <c r="CW19">
        <v>20</v>
      </c>
      <c r="CX19">
        <v>17</v>
      </c>
      <c r="CY19">
        <v>17</v>
      </c>
      <c r="CZ19">
        <v>18</v>
      </c>
      <c r="DA19">
        <v>17</v>
      </c>
      <c r="DB19">
        <v>21</v>
      </c>
      <c r="DC19">
        <v>21</v>
      </c>
      <c r="DD19">
        <v>10</v>
      </c>
      <c r="DE19">
        <v>11</v>
      </c>
      <c r="DF19">
        <v>14</v>
      </c>
      <c r="DG19">
        <v>13</v>
      </c>
      <c r="DH19">
        <v>8</v>
      </c>
      <c r="DI19">
        <v>14</v>
      </c>
      <c r="DJ19">
        <v>11</v>
      </c>
      <c r="DK19">
        <v>19</v>
      </c>
      <c r="DL19">
        <v>12</v>
      </c>
      <c r="DM19">
        <v>11</v>
      </c>
      <c r="DN19">
        <v>6</v>
      </c>
      <c r="DO19">
        <v>5</v>
      </c>
      <c r="DP19">
        <v>8</v>
      </c>
      <c r="DQ19">
        <v>13</v>
      </c>
      <c r="DR19">
        <v>12</v>
      </c>
      <c r="DS19">
        <v>7</v>
      </c>
    </row>
    <row r="20" spans="1:123" x14ac:dyDescent="0.35">
      <c r="A20" t="s">
        <v>18</v>
      </c>
      <c r="B20">
        <v>180</v>
      </c>
      <c r="C20">
        <v>163</v>
      </c>
      <c r="D20">
        <v>150</v>
      </c>
      <c r="E20">
        <v>180</v>
      </c>
      <c r="F20" s="2">
        <f t="shared" si="1"/>
        <v>155.5</v>
      </c>
      <c r="G20">
        <v>131</v>
      </c>
      <c r="H20" s="2">
        <f t="shared" si="1"/>
        <v>147.5</v>
      </c>
      <c r="I20">
        <v>164</v>
      </c>
      <c r="J20">
        <v>170</v>
      </c>
      <c r="K20" s="2">
        <f t="shared" si="2"/>
        <v>186</v>
      </c>
      <c r="L20">
        <v>202</v>
      </c>
      <c r="M20">
        <v>164</v>
      </c>
      <c r="N20">
        <v>167</v>
      </c>
      <c r="O20">
        <v>141</v>
      </c>
      <c r="P20">
        <v>135</v>
      </c>
      <c r="Q20">
        <v>170</v>
      </c>
      <c r="R20">
        <v>199</v>
      </c>
      <c r="S20">
        <v>167</v>
      </c>
      <c r="T20">
        <v>189</v>
      </c>
      <c r="U20">
        <v>174</v>
      </c>
      <c r="V20">
        <v>144</v>
      </c>
      <c r="W20">
        <v>218</v>
      </c>
      <c r="X20" s="2">
        <f>81+75</f>
        <v>156</v>
      </c>
      <c r="Y20">
        <v>159</v>
      </c>
      <c r="Z20">
        <v>180</v>
      </c>
      <c r="AA20">
        <v>205</v>
      </c>
      <c r="AB20">
        <v>156</v>
      </c>
      <c r="AC20">
        <v>168</v>
      </c>
      <c r="AD20">
        <v>169</v>
      </c>
      <c r="AE20">
        <v>192</v>
      </c>
      <c r="AF20">
        <v>191</v>
      </c>
      <c r="AG20">
        <f>8+5+4+4+1+6+6+31+25+2+1+15+10+1+11+6</f>
        <v>136</v>
      </c>
      <c r="AH20">
        <f>9+7+1+10+6+1+1+13+13+52+24+2+9+6+1+2+27+9</f>
        <v>193</v>
      </c>
      <c r="AI20">
        <f>7+6+1+2+6+4+11+10+31+37+1+21+10+1+11+15</f>
        <v>174</v>
      </c>
      <c r="AJ20">
        <v>149</v>
      </c>
      <c r="AK20">
        <v>162</v>
      </c>
      <c r="AL20">
        <v>158</v>
      </c>
      <c r="AM20">
        <v>167</v>
      </c>
      <c r="AN20">
        <v>189</v>
      </c>
      <c r="AO20">
        <v>131</v>
      </c>
      <c r="AP20">
        <v>167</v>
      </c>
      <c r="AQ20">
        <v>129</v>
      </c>
      <c r="AR20">
        <v>159</v>
      </c>
      <c r="AS20">
        <v>96</v>
      </c>
      <c r="AT20">
        <v>107</v>
      </c>
      <c r="AU20">
        <v>99</v>
      </c>
      <c r="AV20">
        <v>144</v>
      </c>
      <c r="AW20">
        <v>95</v>
      </c>
      <c r="AX20">
        <v>115</v>
      </c>
      <c r="AY20">
        <v>109</v>
      </c>
      <c r="AZ20" s="3">
        <v>114</v>
      </c>
      <c r="BA20" s="3">
        <v>113</v>
      </c>
      <c r="BB20" s="3">
        <v>113</v>
      </c>
      <c r="BC20" s="3">
        <v>119</v>
      </c>
      <c r="BD20" s="3">
        <v>99</v>
      </c>
      <c r="BE20">
        <v>101</v>
      </c>
      <c r="BF20">
        <v>137</v>
      </c>
      <c r="BG20">
        <v>136</v>
      </c>
      <c r="BH20">
        <v>133</v>
      </c>
      <c r="BI20">
        <v>140</v>
      </c>
      <c r="BJ20">
        <v>133</v>
      </c>
      <c r="BK20">
        <v>155</v>
      </c>
      <c r="BL20">
        <v>142</v>
      </c>
      <c r="BM20">
        <v>132</v>
      </c>
      <c r="BN20" s="4">
        <v>93</v>
      </c>
      <c r="BO20" s="4">
        <v>113</v>
      </c>
      <c r="BP20">
        <v>85</v>
      </c>
      <c r="BQ20">
        <v>117</v>
      </c>
      <c r="BR20">
        <v>100</v>
      </c>
      <c r="BS20" s="2">
        <f t="shared" si="0"/>
        <v>79.5</v>
      </c>
      <c r="BT20">
        <v>59</v>
      </c>
      <c r="BU20">
        <v>66</v>
      </c>
      <c r="BV20">
        <v>85</v>
      </c>
      <c r="BW20">
        <v>81</v>
      </c>
      <c r="BX20">
        <v>67</v>
      </c>
      <c r="BY20">
        <v>75</v>
      </c>
      <c r="BZ20">
        <v>67</v>
      </c>
      <c r="CA20">
        <v>57</v>
      </c>
      <c r="CB20">
        <v>65</v>
      </c>
      <c r="CC20">
        <v>72</v>
      </c>
      <c r="CD20">
        <v>57</v>
      </c>
      <c r="CE20">
        <v>59</v>
      </c>
      <c r="CF20">
        <v>49</v>
      </c>
      <c r="CG20">
        <v>54</v>
      </c>
      <c r="CH20">
        <v>37</v>
      </c>
      <c r="CI20">
        <v>45</v>
      </c>
      <c r="CJ20">
        <v>41</v>
      </c>
      <c r="CK20">
        <v>28</v>
      </c>
      <c r="CL20">
        <v>32</v>
      </c>
      <c r="CM20">
        <v>29</v>
      </c>
      <c r="CN20">
        <v>25</v>
      </c>
      <c r="CO20">
        <v>29</v>
      </c>
      <c r="CP20">
        <v>28</v>
      </c>
      <c r="CQ20">
        <v>36</v>
      </c>
      <c r="CR20">
        <v>27</v>
      </c>
      <c r="CS20">
        <v>33</v>
      </c>
      <c r="CT20">
        <v>37</v>
      </c>
      <c r="CU20">
        <v>23</v>
      </c>
      <c r="CV20">
        <v>21</v>
      </c>
      <c r="CW20">
        <v>19</v>
      </c>
      <c r="CX20">
        <v>27</v>
      </c>
      <c r="CY20">
        <v>26</v>
      </c>
      <c r="CZ20">
        <v>26</v>
      </c>
      <c r="DA20">
        <v>26</v>
      </c>
      <c r="DB20">
        <v>22</v>
      </c>
      <c r="DC20">
        <v>14</v>
      </c>
      <c r="DD20">
        <v>7</v>
      </c>
      <c r="DE20">
        <v>22</v>
      </c>
      <c r="DF20">
        <v>15</v>
      </c>
      <c r="DG20">
        <v>6</v>
      </c>
      <c r="DH20">
        <v>10</v>
      </c>
      <c r="DI20">
        <v>20</v>
      </c>
      <c r="DJ20">
        <v>8</v>
      </c>
      <c r="DK20">
        <v>11</v>
      </c>
      <c r="DL20">
        <v>9</v>
      </c>
      <c r="DM20">
        <v>11</v>
      </c>
      <c r="DN20">
        <v>11</v>
      </c>
      <c r="DO20">
        <v>3</v>
      </c>
      <c r="DP20">
        <v>8</v>
      </c>
      <c r="DQ20">
        <v>6</v>
      </c>
      <c r="DR20">
        <v>4</v>
      </c>
      <c r="DS20">
        <v>3</v>
      </c>
    </row>
    <row r="21" spans="1:123" x14ac:dyDescent="0.35">
      <c r="A21" t="s">
        <v>19</v>
      </c>
      <c r="B21">
        <v>116</v>
      </c>
      <c r="C21">
        <v>123</v>
      </c>
      <c r="D21">
        <v>161</v>
      </c>
      <c r="E21">
        <v>176</v>
      </c>
      <c r="F21" s="2">
        <f t="shared" si="1"/>
        <v>160.5</v>
      </c>
      <c r="G21">
        <v>145</v>
      </c>
      <c r="H21" s="2">
        <f t="shared" si="1"/>
        <v>153.5</v>
      </c>
      <c r="I21">
        <v>162</v>
      </c>
      <c r="J21">
        <v>170</v>
      </c>
      <c r="K21" s="2">
        <f t="shared" si="2"/>
        <v>174</v>
      </c>
      <c r="L21">
        <v>178</v>
      </c>
      <c r="M21">
        <v>249</v>
      </c>
      <c r="N21">
        <v>243</v>
      </c>
      <c r="O21">
        <v>160</v>
      </c>
      <c r="P21">
        <v>189</v>
      </c>
      <c r="Q21">
        <v>181</v>
      </c>
      <c r="R21">
        <v>224</v>
      </c>
      <c r="S21">
        <v>227</v>
      </c>
      <c r="T21">
        <v>239</v>
      </c>
      <c r="U21">
        <v>161</v>
      </c>
      <c r="V21">
        <v>238</v>
      </c>
      <c r="W21">
        <v>240</v>
      </c>
      <c r="X21" s="2">
        <f>84+75</f>
        <v>159</v>
      </c>
      <c r="Y21">
        <v>190</v>
      </c>
      <c r="Z21">
        <v>184</v>
      </c>
      <c r="AA21">
        <v>220</v>
      </c>
      <c r="AB21">
        <v>166</v>
      </c>
      <c r="AC21">
        <v>167</v>
      </c>
      <c r="AD21">
        <v>182</v>
      </c>
      <c r="AE21">
        <v>213</v>
      </c>
      <c r="AF21">
        <v>225</v>
      </c>
      <c r="AG21">
        <f>9+16+8+6+7+14+19+28+2+2+3+5+5+1+42+41</f>
        <v>208</v>
      </c>
      <c r="AH21">
        <f>13+8+6+6+2+13+9+28+16+1+1+2+5+4+1+46+46</f>
        <v>207</v>
      </c>
      <c r="AI21">
        <f>14+11+6+8+1+1+8+3+22+17+2+10+5+1+51+29</f>
        <v>189</v>
      </c>
      <c r="AJ21">
        <v>207</v>
      </c>
      <c r="AK21">
        <v>208</v>
      </c>
      <c r="AL21">
        <v>151</v>
      </c>
      <c r="AM21">
        <v>255</v>
      </c>
      <c r="AN21">
        <v>189</v>
      </c>
      <c r="AO21">
        <v>234</v>
      </c>
      <c r="AP21">
        <v>194</v>
      </c>
      <c r="AQ21">
        <v>187</v>
      </c>
      <c r="AR21">
        <v>178</v>
      </c>
      <c r="AS21">
        <v>200</v>
      </c>
      <c r="AT21">
        <v>169</v>
      </c>
      <c r="AU21">
        <v>148</v>
      </c>
      <c r="AV21">
        <v>139</v>
      </c>
      <c r="AW21">
        <v>129</v>
      </c>
      <c r="AX21">
        <v>127</v>
      </c>
      <c r="AY21">
        <v>116</v>
      </c>
      <c r="AZ21" s="3">
        <v>121</v>
      </c>
      <c r="BA21" s="3">
        <v>149</v>
      </c>
      <c r="BB21" s="3">
        <v>124</v>
      </c>
      <c r="BC21" s="3">
        <v>137</v>
      </c>
      <c r="BD21" s="3">
        <v>121</v>
      </c>
      <c r="BE21">
        <v>140</v>
      </c>
      <c r="BF21">
        <v>98</v>
      </c>
      <c r="BG21">
        <v>150</v>
      </c>
      <c r="BH21">
        <v>139</v>
      </c>
      <c r="BI21">
        <v>161</v>
      </c>
      <c r="BJ21">
        <v>113</v>
      </c>
      <c r="BK21">
        <v>117</v>
      </c>
      <c r="BL21">
        <v>138</v>
      </c>
      <c r="BM21">
        <v>112</v>
      </c>
      <c r="BN21" s="4">
        <v>117</v>
      </c>
      <c r="BO21" s="4">
        <v>115</v>
      </c>
      <c r="BP21">
        <v>117</v>
      </c>
      <c r="BQ21">
        <v>131</v>
      </c>
      <c r="BR21">
        <v>104</v>
      </c>
      <c r="BS21" s="2">
        <f t="shared" si="0"/>
        <v>107.5</v>
      </c>
      <c r="BT21">
        <v>111</v>
      </c>
      <c r="BU21">
        <v>92</v>
      </c>
      <c r="BV21">
        <v>105</v>
      </c>
      <c r="BW21">
        <v>135</v>
      </c>
      <c r="BX21">
        <v>83</v>
      </c>
      <c r="BY21">
        <v>113</v>
      </c>
      <c r="BZ21">
        <v>88</v>
      </c>
      <c r="CA21">
        <v>82</v>
      </c>
      <c r="CB21">
        <v>73</v>
      </c>
      <c r="CC21">
        <v>53</v>
      </c>
      <c r="CD21">
        <v>61</v>
      </c>
      <c r="CE21">
        <v>33</v>
      </c>
      <c r="CF21">
        <v>40</v>
      </c>
      <c r="CG21">
        <v>32</v>
      </c>
      <c r="CH21">
        <v>60</v>
      </c>
      <c r="CI21">
        <v>49</v>
      </c>
      <c r="CJ21">
        <v>45</v>
      </c>
      <c r="CK21">
        <v>37</v>
      </c>
      <c r="CL21">
        <v>31</v>
      </c>
      <c r="CM21">
        <v>44</v>
      </c>
      <c r="CN21">
        <v>38</v>
      </c>
      <c r="CO21">
        <v>44</v>
      </c>
      <c r="CP21">
        <v>23</v>
      </c>
      <c r="CQ21">
        <v>36</v>
      </c>
      <c r="CR21">
        <v>30</v>
      </c>
      <c r="CS21">
        <v>33</v>
      </c>
      <c r="CT21">
        <v>39</v>
      </c>
      <c r="CU21">
        <v>33</v>
      </c>
      <c r="CV21">
        <v>33</v>
      </c>
      <c r="CW21">
        <v>18</v>
      </c>
      <c r="CX21">
        <v>27</v>
      </c>
      <c r="CY21">
        <v>27</v>
      </c>
      <c r="CZ21">
        <v>24</v>
      </c>
      <c r="DA21">
        <v>18</v>
      </c>
      <c r="DB21">
        <v>18</v>
      </c>
      <c r="DC21">
        <v>10</v>
      </c>
      <c r="DD21">
        <v>12</v>
      </c>
      <c r="DE21">
        <v>11</v>
      </c>
      <c r="DF21">
        <v>10</v>
      </c>
      <c r="DG21">
        <v>12</v>
      </c>
      <c r="DH21">
        <v>8</v>
      </c>
      <c r="DI21">
        <v>18</v>
      </c>
      <c r="DJ21">
        <v>10</v>
      </c>
      <c r="DK21">
        <v>10</v>
      </c>
      <c r="DL21">
        <v>12</v>
      </c>
      <c r="DM21">
        <v>12</v>
      </c>
      <c r="DN21">
        <v>12</v>
      </c>
      <c r="DO21">
        <v>12</v>
      </c>
      <c r="DP21">
        <v>8</v>
      </c>
      <c r="DQ21">
        <v>7</v>
      </c>
      <c r="DR21">
        <v>8</v>
      </c>
      <c r="DS21">
        <v>11</v>
      </c>
    </row>
    <row r="22" spans="1:123" x14ac:dyDescent="0.35">
      <c r="A22" t="s">
        <v>20</v>
      </c>
      <c r="B22">
        <v>92</v>
      </c>
      <c r="C22">
        <v>48</v>
      </c>
      <c r="D22">
        <v>75</v>
      </c>
      <c r="E22">
        <v>89</v>
      </c>
      <c r="F22" s="2">
        <f t="shared" si="1"/>
        <v>78.5</v>
      </c>
      <c r="G22">
        <v>68</v>
      </c>
      <c r="H22" s="2">
        <f t="shared" si="1"/>
        <v>71.5</v>
      </c>
      <c r="I22">
        <v>75</v>
      </c>
      <c r="J22">
        <v>86</v>
      </c>
      <c r="K22" s="2">
        <f t="shared" si="2"/>
        <v>87</v>
      </c>
      <c r="L22">
        <v>88</v>
      </c>
      <c r="M22">
        <v>74</v>
      </c>
      <c r="N22">
        <v>116</v>
      </c>
      <c r="O22">
        <v>98</v>
      </c>
      <c r="P22">
        <v>100</v>
      </c>
      <c r="Q22">
        <v>112</v>
      </c>
      <c r="R22">
        <v>145</v>
      </c>
      <c r="S22">
        <v>148</v>
      </c>
      <c r="T22">
        <v>108</v>
      </c>
      <c r="U22">
        <v>124</v>
      </c>
      <c r="V22">
        <v>154</v>
      </c>
      <c r="W22">
        <v>143</v>
      </c>
      <c r="X22" s="2">
        <f>52+41</f>
        <v>93</v>
      </c>
      <c r="Y22">
        <v>149</v>
      </c>
      <c r="Z22">
        <v>178</v>
      </c>
      <c r="AA22">
        <v>186</v>
      </c>
      <c r="AB22">
        <v>115</v>
      </c>
      <c r="AC22">
        <v>110</v>
      </c>
      <c r="AD22">
        <v>150</v>
      </c>
      <c r="AE22">
        <v>137</v>
      </c>
      <c r="AF22">
        <v>143</v>
      </c>
      <c r="AG22">
        <f>2+2+1+4+3+2+17+13+32+20+1+2+10+4+1+1+20+19</f>
        <v>154</v>
      </c>
      <c r="AH22">
        <f>2+6+3+4+6+7+29+32+2+1+9+8+22+16</f>
        <v>147</v>
      </c>
      <c r="AI22">
        <f>4+2+1+1+4+5+7+8+19+11+1+5+4+16+7</f>
        <v>95</v>
      </c>
      <c r="AJ22">
        <v>132</v>
      </c>
      <c r="AK22">
        <v>179</v>
      </c>
      <c r="AL22">
        <v>132</v>
      </c>
      <c r="AM22">
        <v>138</v>
      </c>
      <c r="AN22">
        <v>121</v>
      </c>
      <c r="AO22">
        <v>168</v>
      </c>
      <c r="AP22">
        <v>125</v>
      </c>
      <c r="AQ22">
        <v>119</v>
      </c>
      <c r="AR22">
        <v>166</v>
      </c>
      <c r="AS22">
        <v>130</v>
      </c>
      <c r="AT22">
        <v>86</v>
      </c>
      <c r="AU22">
        <v>99</v>
      </c>
      <c r="AV22">
        <v>81</v>
      </c>
      <c r="AW22">
        <v>46</v>
      </c>
      <c r="AX22">
        <v>65</v>
      </c>
      <c r="AY22">
        <v>50</v>
      </c>
      <c r="AZ22" s="3">
        <v>69</v>
      </c>
      <c r="BA22" s="3">
        <v>57</v>
      </c>
      <c r="BB22" s="3">
        <v>52</v>
      </c>
      <c r="BC22" s="3">
        <v>42</v>
      </c>
      <c r="BD22" s="3">
        <v>74</v>
      </c>
      <c r="BE22">
        <v>56</v>
      </c>
      <c r="BF22">
        <v>49</v>
      </c>
      <c r="BG22">
        <v>58</v>
      </c>
      <c r="BH22">
        <v>65</v>
      </c>
      <c r="BI22">
        <v>59</v>
      </c>
      <c r="BJ22">
        <v>54</v>
      </c>
      <c r="BK22">
        <v>41</v>
      </c>
      <c r="BL22">
        <v>32</v>
      </c>
      <c r="BM22">
        <v>49</v>
      </c>
      <c r="BN22" s="4">
        <v>54</v>
      </c>
      <c r="BO22" s="4">
        <v>61</v>
      </c>
      <c r="BP22">
        <v>39</v>
      </c>
      <c r="BQ22">
        <v>72</v>
      </c>
      <c r="BR22">
        <v>98</v>
      </c>
      <c r="BS22" s="2">
        <f t="shared" si="0"/>
        <v>73</v>
      </c>
      <c r="BT22">
        <v>48</v>
      </c>
      <c r="BU22">
        <v>58</v>
      </c>
      <c r="BV22">
        <v>52</v>
      </c>
      <c r="BW22">
        <v>42</v>
      </c>
      <c r="BX22">
        <v>49</v>
      </c>
      <c r="BY22">
        <v>57</v>
      </c>
      <c r="BZ22">
        <v>65</v>
      </c>
      <c r="CA22">
        <v>49</v>
      </c>
      <c r="CB22">
        <v>49</v>
      </c>
      <c r="CC22">
        <v>27</v>
      </c>
      <c r="CD22">
        <v>35</v>
      </c>
      <c r="CE22">
        <v>36</v>
      </c>
      <c r="CF22">
        <v>21</v>
      </c>
      <c r="CG22">
        <v>31</v>
      </c>
      <c r="CH22">
        <v>28</v>
      </c>
      <c r="CI22">
        <v>24</v>
      </c>
      <c r="CJ22">
        <v>30</v>
      </c>
      <c r="CK22">
        <v>18</v>
      </c>
      <c r="CL22">
        <v>14</v>
      </c>
      <c r="CM22">
        <v>12</v>
      </c>
      <c r="CN22">
        <v>17</v>
      </c>
      <c r="CO22">
        <v>16</v>
      </c>
      <c r="CP22">
        <v>13</v>
      </c>
      <c r="CQ22">
        <v>22</v>
      </c>
      <c r="CR22">
        <v>25</v>
      </c>
      <c r="CS22">
        <v>16</v>
      </c>
      <c r="CT22">
        <v>16</v>
      </c>
      <c r="CU22">
        <v>13</v>
      </c>
      <c r="CV22">
        <v>12</v>
      </c>
      <c r="CW22">
        <v>14</v>
      </c>
      <c r="CX22">
        <v>13</v>
      </c>
      <c r="CY22">
        <v>16</v>
      </c>
      <c r="CZ22">
        <v>14</v>
      </c>
      <c r="DA22">
        <v>15</v>
      </c>
      <c r="DB22">
        <v>12</v>
      </c>
      <c r="DC22">
        <v>11</v>
      </c>
      <c r="DD22">
        <v>17</v>
      </c>
      <c r="DE22">
        <v>6</v>
      </c>
      <c r="DF22">
        <v>9</v>
      </c>
      <c r="DG22">
        <v>4</v>
      </c>
      <c r="DH22">
        <v>3</v>
      </c>
      <c r="DI22">
        <v>3</v>
      </c>
      <c r="DJ22">
        <v>5</v>
      </c>
      <c r="DK22">
        <v>8</v>
      </c>
      <c r="DL22">
        <v>6</v>
      </c>
      <c r="DM22">
        <v>5</v>
      </c>
      <c r="DN22">
        <v>4</v>
      </c>
      <c r="DO22">
        <v>3</v>
      </c>
      <c r="DP22">
        <v>8</v>
      </c>
      <c r="DQ22">
        <v>1</v>
      </c>
      <c r="DR22">
        <v>4</v>
      </c>
      <c r="DS22">
        <v>5</v>
      </c>
    </row>
    <row r="23" spans="1:123" x14ac:dyDescent="0.35">
      <c r="A23" t="s">
        <v>29</v>
      </c>
      <c r="B23">
        <f t="shared" ref="B23:AG23" si="4">+SUM(B4:B22)</f>
        <v>3244</v>
      </c>
      <c r="C23">
        <f t="shared" si="4"/>
        <v>3235</v>
      </c>
      <c r="D23">
        <f t="shared" si="4"/>
        <v>3318</v>
      </c>
      <c r="E23">
        <f t="shared" si="4"/>
        <v>3557</v>
      </c>
      <c r="F23">
        <f t="shared" si="4"/>
        <v>3164.5</v>
      </c>
      <c r="G23">
        <f t="shared" si="4"/>
        <v>2772</v>
      </c>
      <c r="H23">
        <f t="shared" si="4"/>
        <v>3217</v>
      </c>
      <c r="I23">
        <f t="shared" si="4"/>
        <v>3662</v>
      </c>
      <c r="J23">
        <f t="shared" si="4"/>
        <v>3574</v>
      </c>
      <c r="K23">
        <f t="shared" si="4"/>
        <v>3776</v>
      </c>
      <c r="L23">
        <f t="shared" si="4"/>
        <v>3978</v>
      </c>
      <c r="M23">
        <f t="shared" si="4"/>
        <v>4104</v>
      </c>
      <c r="N23">
        <f t="shared" si="4"/>
        <v>4607</v>
      </c>
      <c r="O23">
        <f t="shared" si="4"/>
        <v>3762</v>
      </c>
      <c r="P23">
        <f t="shared" si="4"/>
        <v>3644</v>
      </c>
      <c r="Q23">
        <f t="shared" si="4"/>
        <v>4235</v>
      </c>
      <c r="R23">
        <f t="shared" si="4"/>
        <v>4584</v>
      </c>
      <c r="S23">
        <f t="shared" si="4"/>
        <v>3930</v>
      </c>
      <c r="T23">
        <f t="shared" si="4"/>
        <v>4285</v>
      </c>
      <c r="U23">
        <f t="shared" si="4"/>
        <v>3951</v>
      </c>
      <c r="V23">
        <f t="shared" si="4"/>
        <v>4614</v>
      </c>
      <c r="W23">
        <f t="shared" si="4"/>
        <v>4243</v>
      </c>
      <c r="X23">
        <f t="shared" si="4"/>
        <v>3722</v>
      </c>
      <c r="Y23">
        <f t="shared" si="4"/>
        <v>4166</v>
      </c>
      <c r="Z23">
        <f t="shared" si="4"/>
        <v>4506</v>
      </c>
      <c r="AA23">
        <f t="shared" si="4"/>
        <v>4858</v>
      </c>
      <c r="AB23">
        <f t="shared" si="4"/>
        <v>4025</v>
      </c>
      <c r="AC23">
        <f t="shared" si="4"/>
        <v>4564</v>
      </c>
      <c r="AD23">
        <f t="shared" si="4"/>
        <v>4442</v>
      </c>
      <c r="AE23">
        <f t="shared" si="4"/>
        <v>4102</v>
      </c>
      <c r="AF23">
        <f t="shared" si="4"/>
        <v>4557</v>
      </c>
      <c r="AG23">
        <f t="shared" si="4"/>
        <v>4902</v>
      </c>
      <c r="AH23">
        <f t="shared" ref="AH23:BM23" si="5">+SUM(AH4:AH22)</f>
        <v>4357</v>
      </c>
      <c r="AI23">
        <f t="shared" si="5"/>
        <v>3862</v>
      </c>
      <c r="AJ23">
        <f t="shared" si="5"/>
        <v>3957</v>
      </c>
      <c r="AK23">
        <f t="shared" si="5"/>
        <v>4224</v>
      </c>
      <c r="AL23">
        <f t="shared" si="5"/>
        <v>3733</v>
      </c>
      <c r="AM23">
        <f t="shared" si="5"/>
        <v>3978</v>
      </c>
      <c r="AN23">
        <f t="shared" si="5"/>
        <v>4121</v>
      </c>
      <c r="AO23">
        <f t="shared" si="5"/>
        <v>3522</v>
      </c>
      <c r="AP23">
        <f t="shared" si="5"/>
        <v>3710</v>
      </c>
      <c r="AQ23">
        <f t="shared" si="5"/>
        <v>3666</v>
      </c>
      <c r="AR23">
        <f t="shared" si="5"/>
        <v>3954</v>
      </c>
      <c r="AS23">
        <f t="shared" si="5"/>
        <v>3387</v>
      </c>
      <c r="AT23">
        <f t="shared" si="5"/>
        <v>3052</v>
      </c>
      <c r="AU23">
        <f t="shared" si="5"/>
        <v>2701</v>
      </c>
      <c r="AV23">
        <f t="shared" si="5"/>
        <v>2483</v>
      </c>
      <c r="AW23">
        <f t="shared" si="5"/>
        <v>2866</v>
      </c>
      <c r="AX23">
        <f t="shared" si="5"/>
        <v>2652</v>
      </c>
      <c r="AY23">
        <f t="shared" si="5"/>
        <v>2312</v>
      </c>
      <c r="AZ23" s="6">
        <f t="shared" si="5"/>
        <v>2875</v>
      </c>
      <c r="BA23" s="6">
        <f t="shared" si="5"/>
        <v>2479</v>
      </c>
      <c r="BB23" s="6">
        <f t="shared" si="5"/>
        <v>2289</v>
      </c>
      <c r="BC23" s="6">
        <f t="shared" si="5"/>
        <v>2249</v>
      </c>
      <c r="BD23" s="6">
        <f t="shared" si="5"/>
        <v>2171</v>
      </c>
      <c r="BE23">
        <f t="shared" si="5"/>
        <v>2266</v>
      </c>
      <c r="BF23">
        <f t="shared" si="5"/>
        <v>2144</v>
      </c>
      <c r="BG23">
        <f t="shared" si="5"/>
        <v>2634</v>
      </c>
      <c r="BH23">
        <f t="shared" si="5"/>
        <v>2603</v>
      </c>
      <c r="BI23">
        <f t="shared" si="5"/>
        <v>2963</v>
      </c>
      <c r="BJ23">
        <f t="shared" si="5"/>
        <v>2686</v>
      </c>
      <c r="BK23">
        <f t="shared" si="5"/>
        <v>2460</v>
      </c>
      <c r="BL23">
        <f t="shared" si="5"/>
        <v>2543</v>
      </c>
      <c r="BM23">
        <f t="shared" si="5"/>
        <v>2568</v>
      </c>
      <c r="BN23">
        <f t="shared" ref="BN23:DS23" si="6">+SUM(BN4:BN22)</f>
        <v>2654</v>
      </c>
      <c r="BO23">
        <f t="shared" si="6"/>
        <v>2863</v>
      </c>
      <c r="BP23">
        <f t="shared" si="6"/>
        <v>2415</v>
      </c>
      <c r="BQ23">
        <f t="shared" si="6"/>
        <v>2863</v>
      </c>
      <c r="BR23">
        <f t="shared" si="6"/>
        <v>3050</v>
      </c>
      <c r="BS23">
        <f t="shared" si="6"/>
        <v>2818.5</v>
      </c>
      <c r="BT23">
        <f t="shared" si="6"/>
        <v>2587</v>
      </c>
      <c r="BU23">
        <f t="shared" si="6"/>
        <v>2449</v>
      </c>
      <c r="BV23">
        <f t="shared" si="6"/>
        <v>2553</v>
      </c>
      <c r="BW23">
        <f t="shared" si="6"/>
        <v>2559</v>
      </c>
      <c r="BX23">
        <f t="shared" si="6"/>
        <v>2511</v>
      </c>
      <c r="BY23">
        <f t="shared" si="6"/>
        <v>2690</v>
      </c>
      <c r="BZ23">
        <f t="shared" si="6"/>
        <v>2561</v>
      </c>
      <c r="CA23">
        <f t="shared" si="6"/>
        <v>2714</v>
      </c>
      <c r="CB23">
        <f t="shared" si="6"/>
        <v>2388</v>
      </c>
      <c r="CC23">
        <f t="shared" si="6"/>
        <v>2040</v>
      </c>
      <c r="CD23">
        <f t="shared" si="6"/>
        <v>1908</v>
      </c>
      <c r="CE23">
        <f t="shared" si="6"/>
        <v>1690</v>
      </c>
      <c r="CF23">
        <f t="shared" si="6"/>
        <v>1536</v>
      </c>
      <c r="CG23">
        <f t="shared" si="6"/>
        <v>1474</v>
      </c>
      <c r="CH23">
        <f t="shared" si="6"/>
        <v>1604</v>
      </c>
      <c r="CI23">
        <f t="shared" si="6"/>
        <v>1579</v>
      </c>
      <c r="CJ23">
        <f t="shared" si="6"/>
        <v>1500</v>
      </c>
      <c r="CK23">
        <f t="shared" si="6"/>
        <v>1281</v>
      </c>
      <c r="CL23">
        <f t="shared" si="6"/>
        <v>1170</v>
      </c>
      <c r="CM23">
        <f t="shared" si="6"/>
        <v>1168</v>
      </c>
      <c r="CN23">
        <f t="shared" si="6"/>
        <v>1152</v>
      </c>
      <c r="CO23">
        <f t="shared" si="6"/>
        <v>1156</v>
      </c>
      <c r="CP23">
        <f t="shared" si="6"/>
        <v>1009</v>
      </c>
      <c r="CQ23">
        <f t="shared" si="6"/>
        <v>1129</v>
      </c>
      <c r="CR23">
        <f t="shared" si="6"/>
        <v>1064</v>
      </c>
      <c r="CS23">
        <f t="shared" si="6"/>
        <v>1085</v>
      </c>
      <c r="CT23">
        <f t="shared" si="6"/>
        <v>1026</v>
      </c>
      <c r="CU23">
        <f t="shared" si="6"/>
        <v>951</v>
      </c>
      <c r="CV23">
        <f t="shared" si="6"/>
        <v>901</v>
      </c>
      <c r="CW23">
        <f t="shared" si="6"/>
        <v>775</v>
      </c>
      <c r="CX23">
        <f t="shared" si="6"/>
        <v>742</v>
      </c>
      <c r="CY23">
        <f t="shared" si="6"/>
        <v>721</v>
      </c>
      <c r="CZ23">
        <f t="shared" si="6"/>
        <v>712</v>
      </c>
      <c r="DA23">
        <f t="shared" si="6"/>
        <v>763</v>
      </c>
      <c r="DB23">
        <f t="shared" si="6"/>
        <v>659</v>
      </c>
      <c r="DC23">
        <f t="shared" si="6"/>
        <v>601</v>
      </c>
      <c r="DD23">
        <f t="shared" si="6"/>
        <v>501</v>
      </c>
      <c r="DE23">
        <f t="shared" si="6"/>
        <v>572</v>
      </c>
      <c r="DF23">
        <f t="shared" si="6"/>
        <v>491</v>
      </c>
      <c r="DG23">
        <f t="shared" si="6"/>
        <v>424</v>
      </c>
      <c r="DH23">
        <f t="shared" si="6"/>
        <v>337</v>
      </c>
      <c r="DI23">
        <f t="shared" si="6"/>
        <v>435</v>
      </c>
      <c r="DJ23">
        <f t="shared" si="6"/>
        <v>415</v>
      </c>
      <c r="DK23">
        <f t="shared" si="6"/>
        <v>419</v>
      </c>
      <c r="DL23">
        <f t="shared" si="6"/>
        <v>375</v>
      </c>
      <c r="DM23">
        <f t="shared" si="6"/>
        <v>364</v>
      </c>
      <c r="DN23">
        <f t="shared" si="6"/>
        <v>359</v>
      </c>
      <c r="DO23">
        <f t="shared" si="6"/>
        <v>278</v>
      </c>
      <c r="DP23">
        <f t="shared" si="6"/>
        <v>268</v>
      </c>
      <c r="DQ23">
        <f t="shared" si="6"/>
        <v>256</v>
      </c>
      <c r="DR23">
        <f t="shared" si="6"/>
        <v>221</v>
      </c>
      <c r="DS23">
        <f t="shared" si="6"/>
        <v>217</v>
      </c>
    </row>
    <row r="24" spans="1:123" x14ac:dyDescent="0.35">
      <c r="CI24">
        <f>+CH26/CG26</f>
        <v>0.97180461023577625</v>
      </c>
      <c r="CK24" t="s">
        <v>30</v>
      </c>
      <c r="CL24" t="s">
        <v>31</v>
      </c>
    </row>
    <row r="25" spans="1:123" x14ac:dyDescent="0.35">
      <c r="A25" t="s">
        <v>32</v>
      </c>
      <c r="B25">
        <v>1900</v>
      </c>
      <c r="C25">
        <v>1901</v>
      </c>
      <c r="D25">
        <v>1902</v>
      </c>
      <c r="E25">
        <v>1903</v>
      </c>
      <c r="F25">
        <v>1904</v>
      </c>
      <c r="G25">
        <v>1905</v>
      </c>
      <c r="H25">
        <v>1906</v>
      </c>
      <c r="I25">
        <v>1907</v>
      </c>
      <c r="J25">
        <v>1908</v>
      </c>
      <c r="K25">
        <v>1909</v>
      </c>
      <c r="L25">
        <v>1910</v>
      </c>
      <c r="M25">
        <v>1911</v>
      </c>
      <c r="N25">
        <v>1912</v>
      </c>
      <c r="O25">
        <v>1913</v>
      </c>
      <c r="P25">
        <v>1914</v>
      </c>
      <c r="Q25">
        <v>1915</v>
      </c>
      <c r="R25">
        <v>1916</v>
      </c>
      <c r="S25">
        <v>1917</v>
      </c>
      <c r="T25">
        <v>1918</v>
      </c>
      <c r="U25">
        <v>1919</v>
      </c>
      <c r="V25">
        <v>1920</v>
      </c>
      <c r="W25">
        <v>1921</v>
      </c>
      <c r="X25">
        <v>1922</v>
      </c>
      <c r="Y25">
        <v>1923</v>
      </c>
      <c r="Z25">
        <v>1924</v>
      </c>
      <c r="AA25">
        <v>1925</v>
      </c>
      <c r="AB25">
        <v>1926</v>
      </c>
      <c r="AC25">
        <v>1927</v>
      </c>
      <c r="AD25">
        <v>1928</v>
      </c>
      <c r="AE25">
        <v>1929</v>
      </c>
      <c r="AF25">
        <v>1930</v>
      </c>
      <c r="AG25">
        <v>1931</v>
      </c>
      <c r="AH25">
        <v>1932</v>
      </c>
      <c r="AI25">
        <v>1933</v>
      </c>
      <c r="AJ25">
        <v>1934</v>
      </c>
      <c r="AK25">
        <v>1935</v>
      </c>
      <c r="AL25">
        <v>1936</v>
      </c>
      <c r="AM25">
        <v>1937</v>
      </c>
      <c r="AN25">
        <v>1938</v>
      </c>
      <c r="AO25">
        <v>1939</v>
      </c>
      <c r="AP25">
        <v>1940</v>
      </c>
      <c r="AQ25">
        <v>1941</v>
      </c>
      <c r="AR25">
        <v>1942</v>
      </c>
      <c r="AS25">
        <v>1943</v>
      </c>
      <c r="AT25">
        <v>1944</v>
      </c>
      <c r="AU25">
        <v>1945</v>
      </c>
      <c r="AV25">
        <v>1946</v>
      </c>
      <c r="AW25">
        <v>1947</v>
      </c>
      <c r="AX25">
        <v>1948</v>
      </c>
      <c r="AY25">
        <v>1949</v>
      </c>
      <c r="AZ25">
        <v>1950</v>
      </c>
      <c r="BA25">
        <v>1951</v>
      </c>
      <c r="BB25">
        <v>1952</v>
      </c>
      <c r="BC25">
        <v>1953</v>
      </c>
      <c r="BD25">
        <v>1954</v>
      </c>
      <c r="BE25">
        <v>1955</v>
      </c>
      <c r="BF25">
        <v>1956</v>
      </c>
      <c r="BG25">
        <v>1957</v>
      </c>
      <c r="BH25">
        <v>1958</v>
      </c>
      <c r="BI25">
        <v>1959</v>
      </c>
      <c r="BJ25">
        <v>1960</v>
      </c>
      <c r="BK25">
        <v>1961</v>
      </c>
      <c r="BL25">
        <v>1962</v>
      </c>
      <c r="BM25">
        <v>1963</v>
      </c>
      <c r="BN25">
        <v>1964</v>
      </c>
      <c r="BO25">
        <v>1965</v>
      </c>
      <c r="BP25">
        <v>1966</v>
      </c>
      <c r="BQ25">
        <v>1967</v>
      </c>
      <c r="BR25">
        <v>1968</v>
      </c>
      <c r="BS25">
        <v>1969</v>
      </c>
      <c r="BT25">
        <v>1970</v>
      </c>
      <c r="BU25">
        <v>1971</v>
      </c>
      <c r="BV25">
        <v>1972</v>
      </c>
      <c r="BW25">
        <v>1973</v>
      </c>
      <c r="BX25">
        <v>1974</v>
      </c>
      <c r="BY25">
        <v>1975</v>
      </c>
      <c r="BZ25">
        <v>1976</v>
      </c>
      <c r="CA25">
        <v>1977</v>
      </c>
      <c r="CB25">
        <v>1978</v>
      </c>
      <c r="CC25">
        <v>1979</v>
      </c>
      <c r="CD25">
        <v>1980</v>
      </c>
      <c r="CE25">
        <v>1981</v>
      </c>
      <c r="CF25">
        <v>1982</v>
      </c>
      <c r="CG25">
        <v>1983</v>
      </c>
      <c r="CH25">
        <v>1984</v>
      </c>
      <c r="CI25">
        <v>1985</v>
      </c>
      <c r="CJ25">
        <v>1986</v>
      </c>
      <c r="CK25">
        <v>1987</v>
      </c>
      <c r="CL25">
        <v>1988</v>
      </c>
      <c r="CM25">
        <v>1989</v>
      </c>
      <c r="CN25">
        <v>1990</v>
      </c>
      <c r="CO25">
        <v>1991</v>
      </c>
      <c r="CP25">
        <v>1992</v>
      </c>
      <c r="CQ25">
        <v>1993</v>
      </c>
      <c r="CR25">
        <v>1994</v>
      </c>
      <c r="CS25">
        <v>1995</v>
      </c>
      <c r="CT25">
        <v>1996</v>
      </c>
      <c r="CU25">
        <v>1997</v>
      </c>
      <c r="CV25">
        <v>1998</v>
      </c>
      <c r="CW25">
        <v>1999</v>
      </c>
      <c r="CX25">
        <v>2000</v>
      </c>
      <c r="CY25">
        <v>2001</v>
      </c>
      <c r="CZ25">
        <v>2002</v>
      </c>
      <c r="DA25">
        <v>2003</v>
      </c>
      <c r="DB25">
        <v>2004</v>
      </c>
      <c r="DC25">
        <v>2005</v>
      </c>
      <c r="DD25">
        <v>2006</v>
      </c>
      <c r="DE25">
        <v>2007</v>
      </c>
      <c r="DF25">
        <v>2008</v>
      </c>
      <c r="DG25">
        <v>2009</v>
      </c>
      <c r="DH25">
        <v>2010</v>
      </c>
      <c r="DI25">
        <v>2011</v>
      </c>
      <c r="DJ25">
        <v>2012</v>
      </c>
      <c r="DK25">
        <v>2013</v>
      </c>
      <c r="DL25">
        <v>2014</v>
      </c>
      <c r="DM25">
        <v>2015</v>
      </c>
      <c r="DN25">
        <v>2016</v>
      </c>
      <c r="DO25">
        <v>2017</v>
      </c>
      <c r="DP25">
        <v>2018</v>
      </c>
      <c r="DQ25">
        <v>2019</v>
      </c>
      <c r="DR25">
        <v>2020</v>
      </c>
      <c r="DS25">
        <v>2021</v>
      </c>
    </row>
    <row r="26" spans="1:123" x14ac:dyDescent="0.35">
      <c r="A26" t="s">
        <v>2</v>
      </c>
      <c r="B26">
        <v>7503</v>
      </c>
      <c r="C26">
        <v>7824</v>
      </c>
      <c r="D26">
        <v>7834</v>
      </c>
      <c r="E26">
        <v>8080</v>
      </c>
      <c r="F26" s="2">
        <f>+(E26+G26)/2</f>
        <v>7894.5</v>
      </c>
      <c r="G26">
        <v>7709</v>
      </c>
      <c r="H26" s="2">
        <f>+(G26+I26)/2</f>
        <v>8032.5</v>
      </c>
      <c r="I26">
        <v>8356</v>
      </c>
      <c r="J26">
        <v>8819</v>
      </c>
      <c r="K26" s="2">
        <f>+(J26+L26)/2</f>
        <v>9152.5</v>
      </c>
      <c r="L26">
        <v>9486</v>
      </c>
      <c r="M26">
        <v>9824</v>
      </c>
      <c r="N26">
        <v>10049</v>
      </c>
      <c r="O26">
        <v>10422</v>
      </c>
      <c r="P26">
        <v>10005</v>
      </c>
      <c r="Q26">
        <v>9560</v>
      </c>
      <c r="R26">
        <v>9383</v>
      </c>
      <c r="S26">
        <v>9161</v>
      </c>
      <c r="T26">
        <v>9794</v>
      </c>
      <c r="U26">
        <v>9965</v>
      </c>
      <c r="V26">
        <v>10557</v>
      </c>
      <c r="W26">
        <v>10793</v>
      </c>
      <c r="X26">
        <v>11290</v>
      </c>
      <c r="Y26">
        <v>11404</v>
      </c>
      <c r="Z26">
        <v>12082</v>
      </c>
      <c r="AA26">
        <v>12198</v>
      </c>
      <c r="AB26">
        <v>12892</v>
      </c>
      <c r="AC26">
        <v>13125</v>
      </c>
      <c r="AD26">
        <v>13835</v>
      </c>
      <c r="AE26">
        <v>13954</v>
      </c>
      <c r="AF26">
        <v>14537</v>
      </c>
      <c r="AG26">
        <v>14213</v>
      </c>
      <c r="AH26">
        <v>14260</v>
      </c>
      <c r="AI26">
        <v>12992</v>
      </c>
      <c r="AJ26" s="7">
        <v>12865</v>
      </c>
      <c r="AK26">
        <v>12596</v>
      </c>
      <c r="AL26">
        <v>12819</v>
      </c>
      <c r="AM26">
        <v>12835</v>
      </c>
      <c r="AN26">
        <v>13668</v>
      </c>
      <c r="AO26">
        <v>14070</v>
      </c>
      <c r="AP26">
        <v>14403</v>
      </c>
      <c r="AQ26">
        <v>14581</v>
      </c>
      <c r="AR26">
        <v>15016</v>
      </c>
      <c r="AS26">
        <v>15706</v>
      </c>
      <c r="AT26">
        <v>16163</v>
      </c>
      <c r="AU26">
        <v>16700</v>
      </c>
      <c r="AV26">
        <v>16928</v>
      </c>
      <c r="AW26">
        <v>13597</v>
      </c>
      <c r="AX26">
        <v>14048</v>
      </c>
      <c r="AY26">
        <v>15751</v>
      </c>
      <c r="AZ26" s="3">
        <v>17594</v>
      </c>
      <c r="BA26" s="3">
        <v>11406</v>
      </c>
      <c r="BB26" s="3">
        <v>12508</v>
      </c>
      <c r="BC26" s="3">
        <v>12948</v>
      </c>
      <c r="BD26" s="3">
        <v>14428</v>
      </c>
      <c r="BE26" s="2">
        <f t="shared" ref="BE26:BS41" si="7">+($BT26/$BD26)^(1/($BT$25-$BD$25))*BD26</f>
        <v>14798.998115683646</v>
      </c>
      <c r="BF26" s="2">
        <f t="shared" si="7"/>
        <v>15179.53598752482</v>
      </c>
      <c r="BG26" s="2">
        <f t="shared" si="7"/>
        <v>15569.858918514825</v>
      </c>
      <c r="BH26" s="2">
        <f t="shared" si="7"/>
        <v>15970.218519306978</v>
      </c>
      <c r="BI26" s="2">
        <f t="shared" si="7"/>
        <v>16380.872870410314</v>
      </c>
      <c r="BJ26" s="2">
        <f t="shared" si="7"/>
        <v>16802.086688553893</v>
      </c>
      <c r="BK26" s="2">
        <f t="shared" si="7"/>
        <v>17234.131497328966</v>
      </c>
      <c r="BL26" s="2">
        <f t="shared" si="7"/>
        <v>17677.285802218987</v>
      </c>
      <c r="BM26" s="2">
        <f t="shared" si="7"/>
        <v>18131.835270130305</v>
      </c>
      <c r="BN26" s="2">
        <f t="shared" si="7"/>
        <v>18598.072913539272</v>
      </c>
      <c r="BO26" s="2">
        <f t="shared" si="7"/>
        <v>19076.29927937446</v>
      </c>
      <c r="BP26" s="2">
        <f t="shared" si="7"/>
        <v>19566.822642755746</v>
      </c>
      <c r="BQ26" s="2">
        <f t="shared" si="7"/>
        <v>20069.959205715164</v>
      </c>
      <c r="BR26" s="2">
        <f t="shared" si="7"/>
        <v>20586.033301027608</v>
      </c>
      <c r="BS26" s="2">
        <f t="shared" si="7"/>
        <v>21115.377601282806</v>
      </c>
      <c r="BT26" s="8">
        <f>+'[1]tabla total (datos finales msp)'!BT26/(1+'[1]Tasa de Descuento'!$K$24)</f>
        <v>21658.333333333336</v>
      </c>
      <c r="BU26" s="8">
        <f>+'[1]tabla total (datos finales msp)'!BU26/(1+'[1]Tasa de Descuento'!$K$24)</f>
        <v>22475</v>
      </c>
      <c r="BV26" s="8">
        <f>+'[1]tabla total (datos finales msp)'!BV26/(1+'[1]Tasa de Descuento'!$K$24)</f>
        <v>22933.333333333336</v>
      </c>
      <c r="BW26" s="8">
        <f>+'[1]tabla total (datos finales msp)'!BW26/(1+'[1]Tasa de Descuento'!$K$24)</f>
        <v>22866.666666666668</v>
      </c>
      <c r="BX26" s="8">
        <f>+'[1]tabla total (datos finales msp)'!BX26/(1+'[1]Tasa de Descuento'!$K$24)</f>
        <v>24200</v>
      </c>
      <c r="BY26" s="8">
        <f>+'[1]tabla total (datos finales msp)'!BY26/(1+'[1]Tasa de Descuento'!$K$24)</f>
        <v>24016.666666666668</v>
      </c>
      <c r="BZ26" s="8">
        <f>+'[1]tabla total (datos finales msp)'!BZ26/(1+'[1]Tasa de Descuento'!$K$24)</f>
        <v>23858.333333333336</v>
      </c>
      <c r="CA26" s="8">
        <f>+'[1]tabla total (datos finales msp)'!CA26/(1+'[1]Tasa de Descuento'!$K$24)</f>
        <v>24450</v>
      </c>
      <c r="CB26" s="8">
        <f>+'[1]tabla total (datos finales msp)'!CB26/(1+'[1]Tasa de Descuento'!$K$24)</f>
        <v>23930</v>
      </c>
      <c r="CC26" s="8">
        <f>+'[1]tabla total (datos finales msp)'!CC26/(1+'[1]Tasa de Descuento'!$K$24)</f>
        <v>23411.666666666668</v>
      </c>
      <c r="CD26" s="8">
        <f>+'[1]tabla total (datos finales msp)'!CD26/(1+'[1]Tasa de Descuento'!$K$24)</f>
        <v>22396.666666666668</v>
      </c>
      <c r="CE26" s="8">
        <f>+'[1]tabla total (datos finales msp)'!CE26/(1+'[1]Tasa de Descuento'!$K$24)</f>
        <v>22335</v>
      </c>
      <c r="CF26" s="8">
        <f>+'[1]tabla total (datos finales msp)'!CF26/(1+'[1]Tasa de Descuento'!$K$24)</f>
        <v>22521.666666666668</v>
      </c>
      <c r="CG26" s="8">
        <f>+'[1]tabla total (datos finales msp)'!CG26/(1+'[1]Tasa de Descuento'!$K$24)</f>
        <v>22160.833333333336</v>
      </c>
      <c r="CH26" s="8">
        <v>21536</v>
      </c>
      <c r="CI26">
        <v>21642</v>
      </c>
      <c r="CJ26">
        <v>22318</v>
      </c>
      <c r="CK26">
        <v>22358</v>
      </c>
      <c r="CL26">
        <v>23436</v>
      </c>
      <c r="CM26">
        <v>22728</v>
      </c>
      <c r="CN26">
        <v>23221</v>
      </c>
      <c r="CO26">
        <v>22092</v>
      </c>
      <c r="CP26">
        <v>21196</v>
      </c>
      <c r="CQ26">
        <v>21158</v>
      </c>
      <c r="CR26">
        <v>21105</v>
      </c>
      <c r="CS26">
        <v>21753</v>
      </c>
      <c r="CT26">
        <v>23287</v>
      </c>
      <c r="CU26">
        <v>21017</v>
      </c>
      <c r="CV26">
        <v>20562</v>
      </c>
      <c r="CW26">
        <v>20011</v>
      </c>
      <c r="CX26">
        <v>19706</v>
      </c>
      <c r="CY26">
        <v>19723</v>
      </c>
      <c r="CZ26">
        <v>19719</v>
      </c>
      <c r="DA26">
        <v>19112</v>
      </c>
      <c r="DB26">
        <v>18643</v>
      </c>
      <c r="DC26">
        <v>18171</v>
      </c>
      <c r="DD26">
        <v>18543</v>
      </c>
      <c r="DE26">
        <v>18364</v>
      </c>
      <c r="DF26">
        <v>18370</v>
      </c>
      <c r="DG26">
        <v>18619</v>
      </c>
      <c r="DH26">
        <v>19113</v>
      </c>
      <c r="DI26">
        <v>19186</v>
      </c>
      <c r="DJ26">
        <v>19655</v>
      </c>
      <c r="DK26">
        <v>19918</v>
      </c>
      <c r="DL26">
        <v>19920</v>
      </c>
      <c r="DM26">
        <v>19975</v>
      </c>
      <c r="DN26">
        <v>19089</v>
      </c>
      <c r="DO26">
        <v>17470</v>
      </c>
      <c r="DP26">
        <v>15987</v>
      </c>
      <c r="DQ26">
        <v>14904</v>
      </c>
      <c r="DR26">
        <v>14090</v>
      </c>
      <c r="DS26">
        <v>13721</v>
      </c>
    </row>
    <row r="27" spans="1:123" x14ac:dyDescent="0.35">
      <c r="A27" t="s">
        <v>3</v>
      </c>
      <c r="B27">
        <v>857</v>
      </c>
      <c r="C27">
        <v>896</v>
      </c>
      <c r="D27">
        <v>890</v>
      </c>
      <c r="E27">
        <v>838</v>
      </c>
      <c r="F27" s="2">
        <f t="shared" ref="F27:F44" si="8">+(E27+G27)/2</f>
        <v>892.5</v>
      </c>
      <c r="G27">
        <v>947</v>
      </c>
      <c r="H27" s="2">
        <f t="shared" ref="H27:H44" si="9">+(G27+I27)/2</f>
        <v>919.5</v>
      </c>
      <c r="I27">
        <v>892</v>
      </c>
      <c r="J27">
        <v>951</v>
      </c>
      <c r="K27" s="2">
        <f t="shared" ref="K27:K44" si="10">+(J27+L27)/2</f>
        <v>956.5</v>
      </c>
      <c r="L27">
        <v>962</v>
      </c>
      <c r="M27">
        <v>997</v>
      </c>
      <c r="N27">
        <v>1034</v>
      </c>
      <c r="O27">
        <v>1101</v>
      </c>
      <c r="P27">
        <v>1105</v>
      </c>
      <c r="Q27">
        <v>1034</v>
      </c>
      <c r="R27">
        <v>918</v>
      </c>
      <c r="S27">
        <v>1006</v>
      </c>
      <c r="T27">
        <v>920</v>
      </c>
      <c r="U27">
        <v>977</v>
      </c>
      <c r="V27">
        <v>976</v>
      </c>
      <c r="W27">
        <v>973</v>
      </c>
      <c r="X27">
        <v>985</v>
      </c>
      <c r="Y27">
        <v>1006</v>
      </c>
      <c r="Z27">
        <v>1086</v>
      </c>
      <c r="AA27">
        <v>1145</v>
      </c>
      <c r="AB27">
        <v>1116</v>
      </c>
      <c r="AC27">
        <v>1126</v>
      </c>
      <c r="AD27">
        <v>1159</v>
      </c>
      <c r="AE27">
        <v>1062</v>
      </c>
      <c r="AF27">
        <v>1123</v>
      </c>
      <c r="AG27">
        <v>1072</v>
      </c>
      <c r="AH27">
        <v>1124</v>
      </c>
      <c r="AI27">
        <v>1161</v>
      </c>
      <c r="AJ27" s="7">
        <v>1122</v>
      </c>
      <c r="AK27">
        <v>1135</v>
      </c>
      <c r="AL27">
        <v>1163</v>
      </c>
      <c r="AM27">
        <v>1066</v>
      </c>
      <c r="AN27">
        <v>1134</v>
      </c>
      <c r="AO27">
        <v>1207</v>
      </c>
      <c r="AP27">
        <v>1359</v>
      </c>
      <c r="AQ27">
        <v>1562</v>
      </c>
      <c r="AR27">
        <v>1307</v>
      </c>
      <c r="AS27">
        <v>1298</v>
      </c>
      <c r="AT27">
        <v>1433</v>
      </c>
      <c r="AU27">
        <v>1416</v>
      </c>
      <c r="AV27">
        <v>1446</v>
      </c>
      <c r="AW27">
        <v>1360</v>
      </c>
      <c r="AX27">
        <v>1643</v>
      </c>
      <c r="AY27">
        <v>1742</v>
      </c>
      <c r="AZ27" s="3">
        <v>1231</v>
      </c>
      <c r="BA27" s="3">
        <v>973</v>
      </c>
      <c r="BB27" s="3">
        <v>1146</v>
      </c>
      <c r="BC27" s="3">
        <v>1094</v>
      </c>
      <c r="BD27" s="3">
        <v>1135</v>
      </c>
      <c r="BE27" s="2">
        <f t="shared" si="7"/>
        <v>1154.9530334955946</v>
      </c>
      <c r="BF27" s="2">
        <f t="shared" si="7"/>
        <v>1175.2568366349569</v>
      </c>
      <c r="BG27" s="2">
        <f t="shared" si="7"/>
        <v>1195.9175758660617</v>
      </c>
      <c r="BH27" s="2">
        <f t="shared" si="7"/>
        <v>1216.9415260415913</v>
      </c>
      <c r="BI27" s="2">
        <f t="shared" si="7"/>
        <v>1238.3350723246645</v>
      </c>
      <c r="BJ27" s="2">
        <f t="shared" si="7"/>
        <v>1260.1047121280685</v>
      </c>
      <c r="BK27" s="2">
        <f t="shared" si="7"/>
        <v>1282.2570570875823</v>
      </c>
      <c r="BL27" s="2">
        <f t="shared" si="7"/>
        <v>1304.7988350699886</v>
      </c>
      <c r="BM27" s="2">
        <f t="shared" si="7"/>
        <v>1327.7368922163889</v>
      </c>
      <c r="BN27" s="2">
        <f t="shared" si="7"/>
        <v>1351.0781950214378</v>
      </c>
      <c r="BO27" s="2">
        <f t="shared" si="7"/>
        <v>1374.8298324491298</v>
      </c>
      <c r="BP27" s="2">
        <f t="shared" si="7"/>
        <v>1398.9990180857819</v>
      </c>
      <c r="BQ27" s="2">
        <f t="shared" si="7"/>
        <v>1423.5930923308654</v>
      </c>
      <c r="BR27" s="2">
        <f t="shared" si="7"/>
        <v>1448.6195246263499</v>
      </c>
      <c r="BS27" s="2">
        <f t="shared" si="7"/>
        <v>1474.0859157252414</v>
      </c>
      <c r="BT27">
        <v>1500</v>
      </c>
      <c r="BU27">
        <v>1480</v>
      </c>
      <c r="BV27">
        <v>1510</v>
      </c>
      <c r="BW27">
        <v>1330</v>
      </c>
      <c r="BX27">
        <v>1430</v>
      </c>
      <c r="BY27">
        <v>1310</v>
      </c>
      <c r="BZ27">
        <v>1420</v>
      </c>
      <c r="CA27">
        <v>1238</v>
      </c>
      <c r="CB27">
        <v>1342</v>
      </c>
      <c r="CC27">
        <v>1331</v>
      </c>
      <c r="CD27">
        <v>1380</v>
      </c>
      <c r="CE27">
        <v>1448</v>
      </c>
      <c r="CF27">
        <v>1405</v>
      </c>
      <c r="CG27" s="8">
        <v>1496</v>
      </c>
      <c r="CH27" s="8">
        <v>1626</v>
      </c>
      <c r="CI27">
        <v>1726</v>
      </c>
      <c r="CJ27">
        <v>1688</v>
      </c>
      <c r="CK27">
        <v>1636</v>
      </c>
      <c r="CL27">
        <v>1739</v>
      </c>
      <c r="CM27">
        <v>1800</v>
      </c>
      <c r="CN27">
        <v>1737</v>
      </c>
      <c r="CO27">
        <v>1839</v>
      </c>
      <c r="CP27">
        <v>1717</v>
      </c>
      <c r="CQ27">
        <v>1718</v>
      </c>
      <c r="CR27">
        <v>1780</v>
      </c>
      <c r="CS27">
        <v>1780</v>
      </c>
      <c r="CT27">
        <v>1762</v>
      </c>
      <c r="CU27">
        <v>1812</v>
      </c>
      <c r="CV27">
        <v>1583</v>
      </c>
      <c r="CW27">
        <v>1565</v>
      </c>
      <c r="CX27">
        <v>1472</v>
      </c>
      <c r="CY27">
        <v>1428</v>
      </c>
      <c r="CZ27">
        <v>1441</v>
      </c>
      <c r="DA27">
        <v>1340</v>
      </c>
      <c r="DB27">
        <v>1292</v>
      </c>
      <c r="DC27">
        <v>1138</v>
      </c>
      <c r="DD27">
        <v>1091</v>
      </c>
      <c r="DE27">
        <v>1209</v>
      </c>
      <c r="DF27">
        <v>1115</v>
      </c>
      <c r="DG27">
        <v>1215</v>
      </c>
      <c r="DH27">
        <v>1150</v>
      </c>
      <c r="DI27">
        <v>1218</v>
      </c>
      <c r="DJ27">
        <v>1147</v>
      </c>
      <c r="DK27">
        <v>1164</v>
      </c>
      <c r="DL27">
        <v>1121</v>
      </c>
      <c r="DM27">
        <v>1276</v>
      </c>
      <c r="DN27">
        <v>1199</v>
      </c>
      <c r="DO27">
        <v>1113</v>
      </c>
      <c r="DP27">
        <v>1105</v>
      </c>
      <c r="DQ27">
        <v>1052</v>
      </c>
      <c r="DR27">
        <v>1025</v>
      </c>
      <c r="DS27">
        <v>1043</v>
      </c>
    </row>
    <row r="28" spans="1:123" x14ac:dyDescent="0.35">
      <c r="A28" t="s">
        <v>4</v>
      </c>
      <c r="B28">
        <v>2810</v>
      </c>
      <c r="C28">
        <v>2830</v>
      </c>
      <c r="D28">
        <v>2887</v>
      </c>
      <c r="E28">
        <v>2906</v>
      </c>
      <c r="F28" s="2">
        <f t="shared" si="8"/>
        <v>2831</v>
      </c>
      <c r="G28">
        <v>2756</v>
      </c>
      <c r="H28" s="2">
        <f t="shared" si="9"/>
        <v>2861</v>
      </c>
      <c r="I28">
        <v>2966</v>
      </c>
      <c r="J28">
        <v>3232</v>
      </c>
      <c r="K28" s="2">
        <f t="shared" si="10"/>
        <v>3355.5</v>
      </c>
      <c r="L28">
        <v>3479</v>
      </c>
      <c r="M28">
        <v>3484</v>
      </c>
      <c r="N28">
        <v>3557</v>
      </c>
      <c r="O28">
        <v>3587</v>
      </c>
      <c r="P28">
        <v>3418</v>
      </c>
      <c r="Q28">
        <v>3372</v>
      </c>
      <c r="R28">
        <v>3294</v>
      </c>
      <c r="S28">
        <v>3229</v>
      </c>
      <c r="T28">
        <v>3391</v>
      </c>
      <c r="U28">
        <v>3318</v>
      </c>
      <c r="V28">
        <v>3133</v>
      </c>
      <c r="W28">
        <v>3223</v>
      </c>
      <c r="X28">
        <v>3359</v>
      </c>
      <c r="Y28">
        <v>3255</v>
      </c>
      <c r="Z28">
        <v>3349</v>
      </c>
      <c r="AA28">
        <v>3306</v>
      </c>
      <c r="AB28">
        <v>3233</v>
      </c>
      <c r="AC28">
        <v>3184</v>
      </c>
      <c r="AD28">
        <v>3195</v>
      </c>
      <c r="AE28">
        <v>3092</v>
      </c>
      <c r="AF28">
        <v>3160</v>
      </c>
      <c r="AG28">
        <v>3161</v>
      </c>
      <c r="AH28">
        <v>3048</v>
      </c>
      <c r="AI28">
        <v>2760</v>
      </c>
      <c r="AJ28" s="7">
        <v>2893</v>
      </c>
      <c r="AK28">
        <v>2804</v>
      </c>
      <c r="AL28">
        <v>2619</v>
      </c>
      <c r="AM28">
        <v>2599</v>
      </c>
      <c r="AN28">
        <v>2490</v>
      </c>
      <c r="AO28">
        <v>2696</v>
      </c>
      <c r="AP28">
        <v>2634</v>
      </c>
      <c r="AQ28">
        <v>2593</v>
      </c>
      <c r="AR28">
        <v>2533</v>
      </c>
      <c r="AS28">
        <v>2573</v>
      </c>
      <c r="AT28">
        <v>2692</v>
      </c>
      <c r="AU28">
        <v>2801</v>
      </c>
      <c r="AV28">
        <v>2753</v>
      </c>
      <c r="AW28">
        <v>3225</v>
      </c>
      <c r="AX28">
        <v>3334</v>
      </c>
      <c r="AY28">
        <v>3591</v>
      </c>
      <c r="AZ28" s="3">
        <v>2826</v>
      </c>
      <c r="BA28" s="3">
        <v>2624</v>
      </c>
      <c r="BB28" s="3">
        <v>2691</v>
      </c>
      <c r="BC28" s="3">
        <v>2711</v>
      </c>
      <c r="BD28" s="3">
        <v>2945</v>
      </c>
      <c r="BE28" s="2">
        <f t="shared" si="7"/>
        <v>3091.3894203085961</v>
      </c>
      <c r="BF28" s="2">
        <f t="shared" si="7"/>
        <v>3245.0555341242502</v>
      </c>
      <c r="BG28" s="2">
        <f t="shared" si="7"/>
        <v>3406.3600497472216</v>
      </c>
      <c r="BH28" s="2">
        <f t="shared" si="7"/>
        <v>3575.68265519539</v>
      </c>
      <c r="BI28" s="2">
        <f t="shared" si="7"/>
        <v>3753.4219119361555</v>
      </c>
      <c r="BJ28" s="2">
        <f t="shared" si="7"/>
        <v>3939.9961930437671</v>
      </c>
      <c r="BK28" s="2">
        <f t="shared" si="7"/>
        <v>4135.8446679903718</v>
      </c>
      <c r="BL28" s="2">
        <f t="shared" si="7"/>
        <v>4341.4283363888462</v>
      </c>
      <c r="BM28" s="2">
        <f t="shared" si="7"/>
        <v>4557.2311131206889</v>
      </c>
      <c r="BN28" s="2">
        <f t="shared" si="7"/>
        <v>4783.7609674032137</v>
      </c>
      <c r="BO28" s="2">
        <f t="shared" si="7"/>
        <v>5021.5511184772531</v>
      </c>
      <c r="BP28" s="2">
        <f t="shared" si="7"/>
        <v>5271.1612907298395</v>
      </c>
      <c r="BQ28" s="2">
        <f t="shared" si="7"/>
        <v>5533.1790312062576</v>
      </c>
      <c r="BR28" s="2">
        <f t="shared" si="7"/>
        <v>5808.2210926126963</v>
      </c>
      <c r="BS28" s="2">
        <f t="shared" si="7"/>
        <v>6096.9348850648976</v>
      </c>
      <c r="BT28" s="8">
        <f>+'[1]tabla total (datos finales msp)'!BT28/(1+'[1]Tasa de Descuento'!$K$25)</f>
        <v>6400</v>
      </c>
      <c r="BU28" s="8">
        <f>+'[1]tabla total (datos finales msp)'!BU28/(1+'[1]Tasa de Descuento'!$K$25)</f>
        <v>6380</v>
      </c>
      <c r="BV28" s="8">
        <f>+'[1]tabla total (datos finales msp)'!BV28/(1+'[1]Tasa de Descuento'!$K$25)</f>
        <v>6740</v>
      </c>
      <c r="BW28" s="8">
        <f>+'[1]tabla total (datos finales msp)'!BW28/(1+'[1]Tasa de Descuento'!$K$25)</f>
        <v>6660</v>
      </c>
      <c r="BX28" s="8">
        <f>+'[1]tabla total (datos finales msp)'!BX28/(1+'[1]Tasa de Descuento'!$K$25)</f>
        <v>6920</v>
      </c>
      <c r="BY28" s="8">
        <f>+'[1]tabla total (datos finales msp)'!BY28/(1+'[1]Tasa de Descuento'!$K$25)</f>
        <v>7000</v>
      </c>
      <c r="BZ28" s="8">
        <f>+'[1]tabla total (datos finales msp)'!BZ28/(1+'[1]Tasa de Descuento'!$K$25)</f>
        <v>6700</v>
      </c>
      <c r="CA28" s="8">
        <f>+'[1]tabla total (datos finales msp)'!CA28/(1+'[1]Tasa de Descuento'!$K$25)</f>
        <v>6070</v>
      </c>
      <c r="CB28" s="8">
        <f>+'[1]tabla total (datos finales msp)'!CB28/(1+'[1]Tasa de Descuento'!$K$25)</f>
        <v>6014</v>
      </c>
      <c r="CC28" s="8">
        <f>+'[1]tabla total (datos finales msp)'!CC28/(1+'[1]Tasa de Descuento'!$K$25)</f>
        <v>5924</v>
      </c>
      <c r="CD28" s="8">
        <f>+'[1]tabla total (datos finales msp)'!CD28/(1+'[1]Tasa de Descuento'!$K$25)</f>
        <v>6136</v>
      </c>
      <c r="CE28" s="8">
        <f>+'[1]tabla total (datos finales msp)'!CE28/(1+'[1]Tasa de Descuento'!$K$25)</f>
        <v>6516</v>
      </c>
      <c r="CF28" s="8">
        <f>+'[1]tabla total (datos finales msp)'!CF28/(1+'[1]Tasa de Descuento'!$K$25)</f>
        <v>6450</v>
      </c>
      <c r="CG28" s="8">
        <f>+'[1]tabla total (datos finales msp)'!CG28/(1+'[1]Tasa de Descuento'!$K$25)</f>
        <v>6440</v>
      </c>
      <c r="CH28" s="8">
        <v>6638</v>
      </c>
      <c r="CI28">
        <v>6066</v>
      </c>
      <c r="CJ28">
        <v>6318</v>
      </c>
      <c r="CK28">
        <v>6226</v>
      </c>
      <c r="CL28">
        <v>6777</v>
      </c>
      <c r="CM28">
        <v>6652</v>
      </c>
      <c r="CN28">
        <v>7114</v>
      </c>
      <c r="CO28">
        <v>6815</v>
      </c>
      <c r="CP28">
        <v>7106</v>
      </c>
      <c r="CQ28">
        <v>7538</v>
      </c>
      <c r="CR28">
        <v>7626</v>
      </c>
      <c r="CS28">
        <v>7618</v>
      </c>
      <c r="CT28">
        <v>7452</v>
      </c>
      <c r="CU28">
        <v>8153</v>
      </c>
      <c r="CV28">
        <v>7790</v>
      </c>
      <c r="CW28">
        <v>7900</v>
      </c>
      <c r="CX28">
        <v>8093</v>
      </c>
      <c r="CY28">
        <v>7925</v>
      </c>
      <c r="CZ28">
        <v>8044</v>
      </c>
      <c r="DA28">
        <v>7854</v>
      </c>
      <c r="DB28">
        <v>7620</v>
      </c>
      <c r="DC28">
        <v>7304</v>
      </c>
      <c r="DD28">
        <v>7432</v>
      </c>
      <c r="DE28">
        <v>7195</v>
      </c>
      <c r="DF28">
        <v>7086</v>
      </c>
      <c r="DG28">
        <v>6830</v>
      </c>
      <c r="DH28">
        <v>6956</v>
      </c>
      <c r="DI28">
        <v>6448</v>
      </c>
      <c r="DJ28">
        <v>6680</v>
      </c>
      <c r="DK28">
        <v>6660</v>
      </c>
      <c r="DL28">
        <v>6830</v>
      </c>
      <c r="DM28">
        <v>6637</v>
      </c>
      <c r="DN28">
        <v>6498</v>
      </c>
      <c r="DO28">
        <v>5859</v>
      </c>
      <c r="DP28">
        <v>5612</v>
      </c>
      <c r="DQ28">
        <v>5166</v>
      </c>
      <c r="DR28">
        <v>5138</v>
      </c>
      <c r="DS28">
        <v>4856</v>
      </c>
    </row>
    <row r="29" spans="1:123" x14ac:dyDescent="0.35">
      <c r="A29" t="s">
        <v>5</v>
      </c>
      <c r="B29">
        <v>1286</v>
      </c>
      <c r="C29">
        <v>1251</v>
      </c>
      <c r="D29">
        <v>1215</v>
      </c>
      <c r="E29">
        <v>1259</v>
      </c>
      <c r="F29" s="2">
        <f t="shared" si="8"/>
        <v>1505.5</v>
      </c>
      <c r="G29">
        <v>1752</v>
      </c>
      <c r="H29" s="2">
        <f t="shared" si="9"/>
        <v>1566</v>
      </c>
      <c r="I29">
        <v>1380</v>
      </c>
      <c r="J29">
        <v>1503</v>
      </c>
      <c r="K29" s="2">
        <f t="shared" si="10"/>
        <v>1412</v>
      </c>
      <c r="L29">
        <v>1321</v>
      </c>
      <c r="M29">
        <v>1624</v>
      </c>
      <c r="N29">
        <v>1681</v>
      </c>
      <c r="O29">
        <v>1757</v>
      </c>
      <c r="P29">
        <v>1711</v>
      </c>
      <c r="Q29">
        <v>1612</v>
      </c>
      <c r="R29">
        <v>1655</v>
      </c>
      <c r="S29">
        <v>1681</v>
      </c>
      <c r="T29">
        <v>1670</v>
      </c>
      <c r="U29">
        <v>1782</v>
      </c>
      <c r="V29">
        <v>1855</v>
      </c>
      <c r="W29">
        <v>1672</v>
      </c>
      <c r="X29">
        <v>1637</v>
      </c>
      <c r="Y29">
        <v>1671</v>
      </c>
      <c r="Z29">
        <v>1703</v>
      </c>
      <c r="AA29">
        <v>1800</v>
      </c>
      <c r="AB29">
        <v>1920</v>
      </c>
      <c r="AC29">
        <v>1806</v>
      </c>
      <c r="AD29">
        <v>1883</v>
      </c>
      <c r="AE29">
        <v>1868</v>
      </c>
      <c r="AF29">
        <v>1884</v>
      </c>
      <c r="AG29">
        <v>1868</v>
      </c>
      <c r="AH29">
        <v>1818</v>
      </c>
      <c r="AI29">
        <v>1745</v>
      </c>
      <c r="AJ29" s="7">
        <v>1659</v>
      </c>
      <c r="AK29">
        <v>1644</v>
      </c>
      <c r="AL29">
        <v>1793</v>
      </c>
      <c r="AM29">
        <v>1863</v>
      </c>
      <c r="AN29">
        <v>1849</v>
      </c>
      <c r="AO29">
        <v>1864</v>
      </c>
      <c r="AP29">
        <v>1762</v>
      </c>
      <c r="AQ29">
        <v>1922</v>
      </c>
      <c r="AR29">
        <v>1735</v>
      </c>
      <c r="AS29">
        <v>1621</v>
      </c>
      <c r="AT29">
        <v>2102</v>
      </c>
      <c r="AU29">
        <v>2518</v>
      </c>
      <c r="AV29">
        <v>2697</v>
      </c>
      <c r="AW29">
        <v>2499</v>
      </c>
      <c r="AX29">
        <v>2701</v>
      </c>
      <c r="AY29">
        <v>3771</v>
      </c>
      <c r="AZ29" s="3">
        <v>1664</v>
      </c>
      <c r="BA29" s="3">
        <v>1465</v>
      </c>
      <c r="BB29" s="3">
        <v>1637</v>
      </c>
      <c r="BC29" s="3">
        <v>1551</v>
      </c>
      <c r="BD29" s="3">
        <v>1596</v>
      </c>
      <c r="BE29" s="2">
        <f t="shared" si="7"/>
        <v>1609.705858572851</v>
      </c>
      <c r="BF29" s="2">
        <f t="shared" si="7"/>
        <v>1623.5294179973428</v>
      </c>
      <c r="BG29" s="2">
        <f t="shared" si="7"/>
        <v>1637.4716890449208</v>
      </c>
      <c r="BH29" s="2">
        <f t="shared" si="7"/>
        <v>1651.533691167162</v>
      </c>
      <c r="BI29" s="2">
        <f t="shared" si="7"/>
        <v>1665.7164525703172</v>
      </c>
      <c r="BJ29" s="2">
        <f t="shared" si="7"/>
        <v>1680.0210102904923</v>
      </c>
      <c r="BK29" s="2">
        <f t="shared" si="7"/>
        <v>1694.4484102694771</v>
      </c>
      <c r="BL29" s="2">
        <f t="shared" si="7"/>
        <v>1708.9997074312223</v>
      </c>
      <c r="BM29" s="2">
        <f t="shared" si="7"/>
        <v>1723.6759657589766</v>
      </c>
      <c r="BN29" s="2">
        <f t="shared" si="7"/>
        <v>1738.4782583730837</v>
      </c>
      <c r="BO29" s="2">
        <f t="shared" si="7"/>
        <v>1753.407667609448</v>
      </c>
      <c r="BP29" s="2">
        <f t="shared" si="7"/>
        <v>1768.4652850986758</v>
      </c>
      <c r="BQ29" s="2">
        <f t="shared" si="7"/>
        <v>1783.6522118458931</v>
      </c>
      <c r="BR29" s="2">
        <f t="shared" si="7"/>
        <v>1798.9695583112518</v>
      </c>
      <c r="BS29" s="2">
        <f t="shared" si="7"/>
        <v>1814.4184444911252</v>
      </c>
      <c r="BT29">
        <v>1830</v>
      </c>
      <c r="BU29">
        <v>1680</v>
      </c>
      <c r="BV29">
        <v>1600</v>
      </c>
      <c r="BW29">
        <v>1720</v>
      </c>
      <c r="BX29">
        <v>1670</v>
      </c>
      <c r="BY29">
        <v>1790</v>
      </c>
      <c r="BZ29">
        <v>1810</v>
      </c>
      <c r="CA29">
        <v>1686</v>
      </c>
      <c r="CB29">
        <v>1632</v>
      </c>
      <c r="CC29">
        <v>1479</v>
      </c>
      <c r="CD29">
        <v>1344</v>
      </c>
      <c r="CE29">
        <v>1464</v>
      </c>
      <c r="CF29">
        <v>1374</v>
      </c>
      <c r="CG29">
        <v>1416</v>
      </c>
      <c r="CH29">
        <v>1466</v>
      </c>
      <c r="CI29">
        <v>1566</v>
      </c>
      <c r="CJ29">
        <v>1407</v>
      </c>
      <c r="CK29">
        <v>1398</v>
      </c>
      <c r="CL29">
        <v>1544</v>
      </c>
      <c r="CM29">
        <v>1638</v>
      </c>
      <c r="CN29">
        <v>1600</v>
      </c>
      <c r="CO29">
        <v>1563</v>
      </c>
      <c r="CP29">
        <v>1606</v>
      </c>
      <c r="CQ29">
        <v>1646</v>
      </c>
      <c r="CR29">
        <v>1758</v>
      </c>
      <c r="CS29">
        <v>1746</v>
      </c>
      <c r="CT29">
        <v>1800</v>
      </c>
      <c r="CU29">
        <v>1692</v>
      </c>
      <c r="CV29">
        <v>1673</v>
      </c>
      <c r="CW29">
        <v>1612</v>
      </c>
      <c r="CX29">
        <v>1580</v>
      </c>
      <c r="CY29">
        <v>1501</v>
      </c>
      <c r="CZ29">
        <v>1514</v>
      </c>
      <c r="DA29">
        <v>1581</v>
      </c>
      <c r="DB29">
        <v>1518</v>
      </c>
      <c r="DC29">
        <v>1339</v>
      </c>
      <c r="DD29">
        <v>1269</v>
      </c>
      <c r="DE29">
        <v>1284</v>
      </c>
      <c r="DF29">
        <v>1337</v>
      </c>
      <c r="DG29">
        <v>1194</v>
      </c>
      <c r="DH29">
        <v>1231</v>
      </c>
      <c r="DI29">
        <v>1305</v>
      </c>
      <c r="DJ29">
        <v>1289</v>
      </c>
      <c r="DK29">
        <v>1230</v>
      </c>
      <c r="DL29">
        <v>1304</v>
      </c>
      <c r="DM29">
        <v>1419</v>
      </c>
      <c r="DN29">
        <v>1321</v>
      </c>
      <c r="DO29">
        <v>1178</v>
      </c>
      <c r="DP29">
        <v>1165</v>
      </c>
      <c r="DQ29">
        <v>1078</v>
      </c>
      <c r="DR29">
        <v>1051</v>
      </c>
      <c r="DS29">
        <v>983</v>
      </c>
    </row>
    <row r="30" spans="1:123" x14ac:dyDescent="0.35">
      <c r="A30" t="s">
        <v>6</v>
      </c>
      <c r="B30">
        <v>1936</v>
      </c>
      <c r="C30">
        <v>1907</v>
      </c>
      <c r="D30">
        <v>2021</v>
      </c>
      <c r="E30">
        <v>2043</v>
      </c>
      <c r="F30" s="2">
        <f t="shared" si="8"/>
        <v>1972.5</v>
      </c>
      <c r="G30">
        <v>1902</v>
      </c>
      <c r="H30" s="2">
        <f t="shared" si="9"/>
        <v>2002.5</v>
      </c>
      <c r="I30">
        <v>2103</v>
      </c>
      <c r="J30">
        <v>2141</v>
      </c>
      <c r="K30" s="2">
        <f t="shared" si="10"/>
        <v>2217.5</v>
      </c>
      <c r="L30">
        <v>2294</v>
      </c>
      <c r="M30">
        <v>2158</v>
      </c>
      <c r="N30">
        <v>2340</v>
      </c>
      <c r="O30">
        <v>2359</v>
      </c>
      <c r="P30">
        <v>2350</v>
      </c>
      <c r="Q30">
        <v>2291</v>
      </c>
      <c r="R30">
        <v>2331</v>
      </c>
      <c r="S30">
        <v>2055</v>
      </c>
      <c r="T30">
        <v>2160</v>
      </c>
      <c r="U30">
        <v>2293</v>
      </c>
      <c r="V30">
        <v>2184</v>
      </c>
      <c r="W30">
        <v>2235</v>
      </c>
      <c r="X30">
        <v>2213</v>
      </c>
      <c r="Y30">
        <v>2198</v>
      </c>
      <c r="Z30">
        <v>2229</v>
      </c>
      <c r="AA30">
        <v>2262</v>
      </c>
      <c r="AB30">
        <v>2269</v>
      </c>
      <c r="AC30">
        <v>2276</v>
      </c>
      <c r="AD30">
        <v>2318</v>
      </c>
      <c r="AE30">
        <v>2328</v>
      </c>
      <c r="AF30">
        <v>2330</v>
      </c>
      <c r="AG30">
        <v>2334</v>
      </c>
      <c r="AH30">
        <v>2383</v>
      </c>
      <c r="AI30">
        <v>2349</v>
      </c>
      <c r="AJ30" s="7">
        <v>2217</v>
      </c>
      <c r="AK30">
        <v>2223</v>
      </c>
      <c r="AL30">
        <v>2088</v>
      </c>
      <c r="AM30">
        <v>2010</v>
      </c>
      <c r="AN30">
        <v>2071</v>
      </c>
      <c r="AO30">
        <v>2149</v>
      </c>
      <c r="AP30">
        <v>2066</v>
      </c>
      <c r="AQ30">
        <v>2125</v>
      </c>
      <c r="AR30">
        <v>2033</v>
      </c>
      <c r="AS30">
        <v>1992</v>
      </c>
      <c r="AT30">
        <v>2103</v>
      </c>
      <c r="AU30">
        <v>2200</v>
      </c>
      <c r="AV30">
        <v>2191</v>
      </c>
      <c r="AW30">
        <v>2499</v>
      </c>
      <c r="AX30">
        <v>2502</v>
      </c>
      <c r="AY30">
        <v>2697</v>
      </c>
      <c r="AZ30" s="3">
        <v>2126</v>
      </c>
      <c r="BA30" s="3">
        <v>1958</v>
      </c>
      <c r="BB30" s="3">
        <v>1997</v>
      </c>
      <c r="BC30" s="3">
        <v>1939</v>
      </c>
      <c r="BD30" s="3">
        <v>1980</v>
      </c>
      <c r="BE30" s="2">
        <f t="shared" si="7"/>
        <v>1987.8850579500474</v>
      </c>
      <c r="BF30" s="2">
        <f t="shared" si="7"/>
        <v>1995.8015169803352</v>
      </c>
      <c r="BG30" s="2">
        <f t="shared" si="7"/>
        <v>2003.7495021410336</v>
      </c>
      <c r="BH30" s="2">
        <f t="shared" si="7"/>
        <v>2011.7291389803067</v>
      </c>
      <c r="BI30" s="2">
        <f t="shared" si="7"/>
        <v>2019.740553546296</v>
      </c>
      <c r="BJ30" s="2">
        <f t="shared" si="7"/>
        <v>2027.7838723891109</v>
      </c>
      <c r="BK30" s="2">
        <f t="shared" si="7"/>
        <v>2035.8592225628281</v>
      </c>
      <c r="BL30" s="2">
        <f t="shared" si="7"/>
        <v>2043.9667316274981</v>
      </c>
      <c r="BM30" s="2">
        <f t="shared" si="7"/>
        <v>2052.1065276511608</v>
      </c>
      <c r="BN30" s="2">
        <f t="shared" si="7"/>
        <v>2060.278739211868</v>
      </c>
      <c r="BO30" s="2">
        <f t="shared" si="7"/>
        <v>2068.4834953997147</v>
      </c>
      <c r="BP30" s="2">
        <f t="shared" si="7"/>
        <v>2076.7209258188782</v>
      </c>
      <c r="BQ30" s="2">
        <f t="shared" si="7"/>
        <v>2084.991160589665</v>
      </c>
      <c r="BR30" s="2">
        <f t="shared" si="7"/>
        <v>2093.2943303505672</v>
      </c>
      <c r="BS30" s="2">
        <f t="shared" si="7"/>
        <v>2101.6305662603249</v>
      </c>
      <c r="BT30">
        <v>2110</v>
      </c>
      <c r="BU30">
        <v>2100</v>
      </c>
      <c r="BV30">
        <v>2040</v>
      </c>
      <c r="BW30">
        <v>2030</v>
      </c>
      <c r="BX30">
        <v>1980</v>
      </c>
      <c r="BY30">
        <v>2100</v>
      </c>
      <c r="BZ30">
        <v>1980</v>
      </c>
      <c r="CA30">
        <v>2017</v>
      </c>
      <c r="CB30">
        <v>1884</v>
      </c>
      <c r="CC30">
        <v>1913</v>
      </c>
      <c r="CD30">
        <v>1807</v>
      </c>
      <c r="CE30">
        <v>1902</v>
      </c>
      <c r="CF30">
        <v>1922</v>
      </c>
      <c r="CG30">
        <v>1856</v>
      </c>
      <c r="CH30">
        <v>1942</v>
      </c>
      <c r="CI30">
        <v>2008</v>
      </c>
      <c r="CJ30">
        <v>1993</v>
      </c>
      <c r="CK30">
        <v>2024</v>
      </c>
      <c r="CL30">
        <v>1992</v>
      </c>
      <c r="CM30">
        <v>1956</v>
      </c>
      <c r="CN30">
        <v>2063</v>
      </c>
      <c r="CO30">
        <v>2026</v>
      </c>
      <c r="CP30">
        <v>1984</v>
      </c>
      <c r="CQ30">
        <v>2013</v>
      </c>
      <c r="CR30">
        <v>2010</v>
      </c>
      <c r="CS30">
        <v>2025</v>
      </c>
      <c r="CT30">
        <v>1984</v>
      </c>
      <c r="CU30">
        <v>1969</v>
      </c>
      <c r="CV30">
        <v>1979</v>
      </c>
      <c r="CW30">
        <v>1832</v>
      </c>
      <c r="CX30">
        <v>1779</v>
      </c>
      <c r="CY30">
        <v>1700</v>
      </c>
      <c r="CZ30">
        <v>1802</v>
      </c>
      <c r="DA30">
        <v>1753</v>
      </c>
      <c r="DB30">
        <v>1723</v>
      </c>
      <c r="DC30">
        <v>1629</v>
      </c>
      <c r="DD30">
        <v>1700</v>
      </c>
      <c r="DE30">
        <v>1739</v>
      </c>
      <c r="DF30">
        <v>1584</v>
      </c>
      <c r="DG30">
        <v>1592</v>
      </c>
      <c r="DH30">
        <v>1733</v>
      </c>
      <c r="DI30">
        <v>1639</v>
      </c>
      <c r="DJ30">
        <v>1704</v>
      </c>
      <c r="DK30">
        <v>1746</v>
      </c>
      <c r="DL30">
        <v>1714</v>
      </c>
      <c r="DM30">
        <v>1741</v>
      </c>
      <c r="DN30">
        <v>1643</v>
      </c>
      <c r="DO30">
        <v>1575</v>
      </c>
      <c r="DP30">
        <v>1455</v>
      </c>
      <c r="DQ30">
        <v>1321</v>
      </c>
      <c r="DR30">
        <v>1232</v>
      </c>
      <c r="DS30">
        <v>1183</v>
      </c>
    </row>
    <row r="31" spans="1:123" x14ac:dyDescent="0.35">
      <c r="A31" t="s">
        <v>7</v>
      </c>
      <c r="B31">
        <v>1394</v>
      </c>
      <c r="C31">
        <v>1458</v>
      </c>
      <c r="D31">
        <v>1411</v>
      </c>
      <c r="E31">
        <v>1545</v>
      </c>
      <c r="F31" s="2">
        <f t="shared" si="8"/>
        <v>1593.5</v>
      </c>
      <c r="G31">
        <v>1642</v>
      </c>
      <c r="H31" s="2">
        <f t="shared" si="9"/>
        <v>1541.5</v>
      </c>
      <c r="I31">
        <v>1441</v>
      </c>
      <c r="J31">
        <v>1520</v>
      </c>
      <c r="K31" s="2">
        <f t="shared" si="10"/>
        <v>1482</v>
      </c>
      <c r="L31">
        <v>1444</v>
      </c>
      <c r="M31">
        <v>1593</v>
      </c>
      <c r="N31">
        <v>1601</v>
      </c>
      <c r="O31">
        <v>1652</v>
      </c>
      <c r="P31">
        <v>1533</v>
      </c>
      <c r="Q31">
        <v>1548</v>
      </c>
      <c r="R31">
        <v>1426</v>
      </c>
      <c r="S31">
        <v>1614</v>
      </c>
      <c r="T31">
        <v>1649</v>
      </c>
      <c r="U31">
        <v>1668</v>
      </c>
      <c r="V31">
        <v>1710</v>
      </c>
      <c r="W31">
        <v>1653</v>
      </c>
      <c r="X31">
        <v>1614</v>
      </c>
      <c r="Y31">
        <v>1596</v>
      </c>
      <c r="Z31">
        <v>1665</v>
      </c>
      <c r="AA31">
        <v>1685</v>
      </c>
      <c r="AB31">
        <v>1598</v>
      </c>
      <c r="AC31">
        <v>1706</v>
      </c>
      <c r="AD31">
        <v>1743</v>
      </c>
      <c r="AE31">
        <v>1790</v>
      </c>
      <c r="AF31">
        <v>1743</v>
      </c>
      <c r="AG31">
        <v>1718</v>
      </c>
      <c r="AH31">
        <v>1601</v>
      </c>
      <c r="AI31">
        <v>1580</v>
      </c>
      <c r="AJ31" s="7">
        <v>1608</v>
      </c>
      <c r="AK31">
        <v>1671</v>
      </c>
      <c r="AL31">
        <v>1706</v>
      </c>
      <c r="AM31">
        <v>1676</v>
      </c>
      <c r="AN31">
        <v>1642</v>
      </c>
      <c r="AO31">
        <v>1666</v>
      </c>
      <c r="AP31">
        <v>1613</v>
      </c>
      <c r="AQ31">
        <v>1590</v>
      </c>
      <c r="AR31">
        <v>1613</v>
      </c>
      <c r="AS31">
        <v>1606</v>
      </c>
      <c r="AT31">
        <v>1768</v>
      </c>
      <c r="AU31">
        <v>1722</v>
      </c>
      <c r="AV31">
        <v>1803</v>
      </c>
      <c r="AW31">
        <v>1636</v>
      </c>
      <c r="AX31">
        <v>1751</v>
      </c>
      <c r="AY31">
        <v>2137</v>
      </c>
      <c r="AZ31" s="3">
        <v>1339</v>
      </c>
      <c r="BA31" s="3">
        <v>1058</v>
      </c>
      <c r="BB31" s="3">
        <v>1098</v>
      </c>
      <c r="BC31" s="3">
        <v>1141</v>
      </c>
      <c r="BD31" s="3">
        <v>1193</v>
      </c>
      <c r="BE31" s="2">
        <f t="shared" si="7"/>
        <v>1192.8122786245722</v>
      </c>
      <c r="BF31" s="2">
        <f t="shared" si="7"/>
        <v>1192.6245867875473</v>
      </c>
      <c r="BG31" s="2">
        <f t="shared" si="7"/>
        <v>1192.4369244842774</v>
      </c>
      <c r="BH31" s="2">
        <f t="shared" si="7"/>
        <v>1192.2492917101154</v>
      </c>
      <c r="BI31" s="2">
        <f t="shared" si="7"/>
        <v>1192.0616884604149</v>
      </c>
      <c r="BJ31" s="2">
        <f t="shared" si="7"/>
        <v>1191.87411473053</v>
      </c>
      <c r="BK31" s="2">
        <f t="shared" si="7"/>
        <v>1191.6865705158157</v>
      </c>
      <c r="BL31" s="2">
        <f t="shared" si="7"/>
        <v>1191.4990558116278</v>
      </c>
      <c r="BM31" s="2">
        <f t="shared" si="7"/>
        <v>1191.3115706133226</v>
      </c>
      <c r="BN31" s="2">
        <f t="shared" si="7"/>
        <v>1191.1241149162574</v>
      </c>
      <c r="BO31" s="2">
        <f t="shared" si="7"/>
        <v>1190.9366887157901</v>
      </c>
      <c r="BP31" s="2">
        <f t="shared" si="7"/>
        <v>1190.7492920072793</v>
      </c>
      <c r="BQ31" s="2">
        <f t="shared" si="7"/>
        <v>1190.5619247860845</v>
      </c>
      <c r="BR31" s="2">
        <f t="shared" si="7"/>
        <v>1190.3745870475657</v>
      </c>
      <c r="BS31" s="2">
        <f t="shared" si="7"/>
        <v>1190.1872787870836</v>
      </c>
      <c r="BT31">
        <v>1190</v>
      </c>
      <c r="BU31">
        <v>1300</v>
      </c>
      <c r="BV31">
        <v>1310</v>
      </c>
      <c r="BW31">
        <v>1310</v>
      </c>
      <c r="BX31">
        <v>1390</v>
      </c>
      <c r="BY31">
        <v>1380</v>
      </c>
      <c r="BZ31">
        <v>1280</v>
      </c>
      <c r="CA31">
        <v>1238</v>
      </c>
      <c r="CB31">
        <v>1288</v>
      </c>
      <c r="CC31">
        <v>1153</v>
      </c>
      <c r="CD31">
        <v>1187</v>
      </c>
      <c r="CE31">
        <v>1150</v>
      </c>
      <c r="CF31">
        <v>1153</v>
      </c>
      <c r="CG31">
        <v>1106</v>
      </c>
      <c r="CH31">
        <v>1100</v>
      </c>
      <c r="CI31">
        <v>1082</v>
      </c>
      <c r="CJ31">
        <v>1121</v>
      </c>
      <c r="CK31">
        <v>1042</v>
      </c>
      <c r="CL31">
        <v>1102</v>
      </c>
      <c r="CM31">
        <v>1062</v>
      </c>
      <c r="CN31">
        <v>1012</v>
      </c>
      <c r="CO31">
        <v>1100</v>
      </c>
      <c r="CP31">
        <v>1118</v>
      </c>
      <c r="CQ31">
        <v>1219</v>
      </c>
      <c r="CR31">
        <v>1137</v>
      </c>
      <c r="CS31">
        <v>1152</v>
      </c>
      <c r="CT31">
        <v>1109</v>
      </c>
      <c r="CU31">
        <v>1158</v>
      </c>
      <c r="CV31">
        <v>1081</v>
      </c>
      <c r="CW31">
        <v>1066</v>
      </c>
      <c r="CX31">
        <v>1079</v>
      </c>
      <c r="CY31">
        <v>983</v>
      </c>
      <c r="CZ31">
        <v>1061</v>
      </c>
      <c r="DA31">
        <v>989</v>
      </c>
      <c r="DB31">
        <v>968</v>
      </c>
      <c r="DC31">
        <v>840</v>
      </c>
      <c r="DD31">
        <v>843</v>
      </c>
      <c r="DE31">
        <v>881</v>
      </c>
      <c r="DF31">
        <v>825</v>
      </c>
      <c r="DG31">
        <v>900</v>
      </c>
      <c r="DH31">
        <v>795</v>
      </c>
      <c r="DI31">
        <v>787</v>
      </c>
      <c r="DJ31">
        <v>884</v>
      </c>
      <c r="DK31">
        <v>834</v>
      </c>
      <c r="DL31">
        <v>877</v>
      </c>
      <c r="DM31">
        <v>888</v>
      </c>
      <c r="DN31">
        <v>856</v>
      </c>
      <c r="DO31">
        <v>748</v>
      </c>
      <c r="DP31">
        <v>618</v>
      </c>
      <c r="DQ31">
        <v>607</v>
      </c>
      <c r="DR31">
        <v>605</v>
      </c>
      <c r="DS31">
        <v>616</v>
      </c>
    </row>
    <row r="32" spans="1:123" x14ac:dyDescent="0.35">
      <c r="A32" t="s">
        <v>8</v>
      </c>
      <c r="B32">
        <v>514</v>
      </c>
      <c r="C32">
        <v>540</v>
      </c>
      <c r="D32">
        <v>547</v>
      </c>
      <c r="E32">
        <v>530</v>
      </c>
      <c r="F32" s="2">
        <f t="shared" si="8"/>
        <v>531</v>
      </c>
      <c r="G32">
        <v>532</v>
      </c>
      <c r="H32" s="2">
        <f t="shared" si="9"/>
        <v>577</v>
      </c>
      <c r="I32">
        <v>622</v>
      </c>
      <c r="J32">
        <v>580</v>
      </c>
      <c r="K32" s="2">
        <f t="shared" si="10"/>
        <v>584</v>
      </c>
      <c r="L32">
        <v>588</v>
      </c>
      <c r="M32">
        <v>552</v>
      </c>
      <c r="N32">
        <v>621</v>
      </c>
      <c r="O32">
        <v>571</v>
      </c>
      <c r="P32">
        <v>546</v>
      </c>
      <c r="Q32">
        <v>610</v>
      </c>
      <c r="R32">
        <v>599</v>
      </c>
      <c r="S32">
        <v>594</v>
      </c>
      <c r="T32">
        <v>645</v>
      </c>
      <c r="U32">
        <v>657</v>
      </c>
      <c r="V32">
        <v>615</v>
      </c>
      <c r="W32">
        <v>648</v>
      </c>
      <c r="X32">
        <v>645</v>
      </c>
      <c r="Y32">
        <v>650</v>
      </c>
      <c r="Z32">
        <v>646</v>
      </c>
      <c r="AA32">
        <v>643</v>
      </c>
      <c r="AB32">
        <v>652</v>
      </c>
      <c r="AC32">
        <v>610</v>
      </c>
      <c r="AD32">
        <v>668</v>
      </c>
      <c r="AE32">
        <v>659</v>
      </c>
      <c r="AF32">
        <v>739</v>
      </c>
      <c r="AG32">
        <v>701</v>
      </c>
      <c r="AH32">
        <v>709</v>
      </c>
      <c r="AI32">
        <v>642</v>
      </c>
      <c r="AJ32" s="7">
        <v>658</v>
      </c>
      <c r="AK32">
        <v>681</v>
      </c>
      <c r="AL32">
        <v>612</v>
      </c>
      <c r="AM32">
        <v>681</v>
      </c>
      <c r="AN32">
        <v>620</v>
      </c>
      <c r="AO32">
        <v>645</v>
      </c>
      <c r="AP32">
        <v>635</v>
      </c>
      <c r="AQ32">
        <v>668</v>
      </c>
      <c r="AR32">
        <v>594</v>
      </c>
      <c r="AS32">
        <v>612</v>
      </c>
      <c r="AT32">
        <v>622</v>
      </c>
      <c r="AU32">
        <v>630</v>
      </c>
      <c r="AV32">
        <v>574</v>
      </c>
      <c r="AW32">
        <v>498</v>
      </c>
      <c r="AX32">
        <v>403</v>
      </c>
      <c r="AY32">
        <v>558</v>
      </c>
      <c r="AZ32" s="3">
        <v>529</v>
      </c>
      <c r="BA32" s="3">
        <v>294</v>
      </c>
      <c r="BB32">
        <v>311</v>
      </c>
      <c r="BC32" s="3">
        <v>332</v>
      </c>
      <c r="BD32" s="3">
        <v>289</v>
      </c>
      <c r="BE32" s="2">
        <f t="shared" si="7"/>
        <v>298.3110253951869</v>
      </c>
      <c r="BF32" s="2">
        <f t="shared" si="7"/>
        <v>307.92203416030401</v>
      </c>
      <c r="BG32" s="2">
        <f t="shared" si="7"/>
        <v>317.84269118384799</v>
      </c>
      <c r="BH32" s="2">
        <f t="shared" si="7"/>
        <v>328.08297273847558</v>
      </c>
      <c r="BI32" s="2">
        <f t="shared" si="7"/>
        <v>338.6531765132035</v>
      </c>
      <c r="BJ32" s="2">
        <f t="shared" si="7"/>
        <v>349.56393196882692</v>
      </c>
      <c r="BK32" s="2">
        <f t="shared" si="7"/>
        <v>360.8262110269693</v>
      </c>
      <c r="BL32" s="2">
        <f t="shared" si="7"/>
        <v>372.45133910351319</v>
      </c>
      <c r="BM32" s="2">
        <f t="shared" si="7"/>
        <v>384.45100649750691</v>
      </c>
      <c r="BN32" s="2">
        <f t="shared" si="7"/>
        <v>396.83728014699983</v>
      </c>
      <c r="BO32" s="2">
        <f t="shared" si="7"/>
        <v>409.62261576362829</v>
      </c>
      <c r="BP32" s="2">
        <f t="shared" si="7"/>
        <v>422.81987035815439</v>
      </c>
      <c r="BQ32" s="2">
        <f t="shared" si="7"/>
        <v>436.44231516955375</v>
      </c>
      <c r="BR32" s="2">
        <f t="shared" si="7"/>
        <v>450.5036490106537</v>
      </c>
      <c r="BS32" s="2">
        <f t="shared" si="7"/>
        <v>465.0180120437422</v>
      </c>
      <c r="BT32">
        <v>480</v>
      </c>
      <c r="BU32">
        <v>460</v>
      </c>
      <c r="BV32">
        <v>470</v>
      </c>
      <c r="BW32">
        <v>520</v>
      </c>
      <c r="BX32">
        <v>560</v>
      </c>
      <c r="BY32">
        <v>560</v>
      </c>
      <c r="BZ32">
        <v>590</v>
      </c>
      <c r="CA32">
        <v>463</v>
      </c>
      <c r="CB32">
        <v>555</v>
      </c>
      <c r="CC32">
        <v>500</v>
      </c>
      <c r="CD32">
        <v>467</v>
      </c>
      <c r="CE32">
        <v>408</v>
      </c>
      <c r="CF32">
        <v>435</v>
      </c>
      <c r="CG32">
        <v>428</v>
      </c>
      <c r="CH32">
        <v>482</v>
      </c>
      <c r="CI32">
        <v>456</v>
      </c>
      <c r="CJ32">
        <v>410</v>
      </c>
      <c r="CK32">
        <v>518</v>
      </c>
      <c r="CL32">
        <v>426</v>
      </c>
      <c r="CM32">
        <v>440</v>
      </c>
      <c r="CN32">
        <v>444</v>
      </c>
      <c r="CO32">
        <v>442</v>
      </c>
      <c r="CP32">
        <v>478</v>
      </c>
      <c r="CQ32">
        <v>459</v>
      </c>
      <c r="CR32">
        <v>414</v>
      </c>
      <c r="CS32">
        <v>419</v>
      </c>
      <c r="CT32">
        <v>437</v>
      </c>
      <c r="CU32">
        <v>419</v>
      </c>
      <c r="CV32">
        <v>395</v>
      </c>
      <c r="CW32">
        <v>395</v>
      </c>
      <c r="CX32">
        <v>386</v>
      </c>
      <c r="CY32">
        <v>380</v>
      </c>
      <c r="CZ32">
        <v>396</v>
      </c>
      <c r="DA32">
        <v>425</v>
      </c>
      <c r="DB32">
        <v>414</v>
      </c>
      <c r="DC32">
        <v>320</v>
      </c>
      <c r="DD32">
        <v>322</v>
      </c>
      <c r="DE32">
        <v>321</v>
      </c>
      <c r="DF32">
        <v>317</v>
      </c>
      <c r="DG32">
        <v>341</v>
      </c>
      <c r="DH32">
        <v>337</v>
      </c>
      <c r="DI32">
        <v>325</v>
      </c>
      <c r="DJ32">
        <v>332</v>
      </c>
      <c r="DK32">
        <v>376</v>
      </c>
      <c r="DL32">
        <v>307</v>
      </c>
      <c r="DM32">
        <v>350</v>
      </c>
      <c r="DN32">
        <v>343</v>
      </c>
      <c r="DO32">
        <v>272</v>
      </c>
      <c r="DP32">
        <v>285</v>
      </c>
      <c r="DQ32">
        <v>255</v>
      </c>
      <c r="DR32">
        <v>263</v>
      </c>
      <c r="DS32">
        <v>221</v>
      </c>
    </row>
    <row r="33" spans="1:123" x14ac:dyDescent="0.35">
      <c r="A33" t="s">
        <v>9</v>
      </c>
      <c r="B33">
        <v>1512</v>
      </c>
      <c r="C33">
        <v>1638</v>
      </c>
      <c r="D33">
        <v>1589</v>
      </c>
      <c r="E33">
        <v>1715</v>
      </c>
      <c r="F33" s="2">
        <f t="shared" si="8"/>
        <v>1748.5</v>
      </c>
      <c r="G33">
        <v>1782</v>
      </c>
      <c r="H33" s="2">
        <f t="shared" si="9"/>
        <v>1777</v>
      </c>
      <c r="I33">
        <v>1772</v>
      </c>
      <c r="J33">
        <v>1751</v>
      </c>
      <c r="K33" s="2">
        <f t="shared" si="10"/>
        <v>1741.5</v>
      </c>
      <c r="L33">
        <v>1732</v>
      </c>
      <c r="M33">
        <v>1902</v>
      </c>
      <c r="N33">
        <v>1849</v>
      </c>
      <c r="O33">
        <v>2012</v>
      </c>
      <c r="P33">
        <v>1931</v>
      </c>
      <c r="Q33">
        <v>2013</v>
      </c>
      <c r="R33">
        <v>1871</v>
      </c>
      <c r="S33">
        <v>1810</v>
      </c>
      <c r="T33">
        <v>1830</v>
      </c>
      <c r="U33">
        <v>1906</v>
      </c>
      <c r="V33">
        <v>1786</v>
      </c>
      <c r="W33">
        <v>1823</v>
      </c>
      <c r="X33">
        <v>1873</v>
      </c>
      <c r="Y33">
        <v>1851</v>
      </c>
      <c r="Z33">
        <v>1861</v>
      </c>
      <c r="AA33">
        <v>1854</v>
      </c>
      <c r="AB33">
        <v>1866</v>
      </c>
      <c r="AC33">
        <v>1816</v>
      </c>
      <c r="AD33">
        <v>1877</v>
      </c>
      <c r="AE33">
        <v>1733</v>
      </c>
      <c r="AF33">
        <v>1734</v>
      </c>
      <c r="AG33">
        <v>1734</v>
      </c>
      <c r="AH33">
        <v>1735</v>
      </c>
      <c r="AI33">
        <v>1689</v>
      </c>
      <c r="AJ33" s="7">
        <v>1601</v>
      </c>
      <c r="AK33">
        <v>1628</v>
      </c>
      <c r="AL33">
        <v>1505</v>
      </c>
      <c r="AM33">
        <v>1627</v>
      </c>
      <c r="AN33">
        <v>1534</v>
      </c>
      <c r="AO33">
        <v>1554</v>
      </c>
      <c r="AP33">
        <v>1506</v>
      </c>
      <c r="AQ33">
        <v>1520</v>
      </c>
      <c r="AR33">
        <v>1312</v>
      </c>
      <c r="AS33">
        <v>1378</v>
      </c>
      <c r="AT33">
        <v>1329</v>
      </c>
      <c r="AU33">
        <v>1281</v>
      </c>
      <c r="AV33">
        <v>1283</v>
      </c>
      <c r="AW33">
        <v>1593</v>
      </c>
      <c r="AX33">
        <v>1784</v>
      </c>
      <c r="AY33">
        <v>1823</v>
      </c>
      <c r="AZ33" s="3">
        <v>1106</v>
      </c>
      <c r="BA33" s="3">
        <v>1171</v>
      </c>
      <c r="BB33">
        <v>1149</v>
      </c>
      <c r="BC33" s="3">
        <v>1154</v>
      </c>
      <c r="BD33" s="3">
        <v>1236</v>
      </c>
      <c r="BE33" s="2">
        <f t="shared" si="7"/>
        <v>1227.0276778797256</v>
      </c>
      <c r="BF33" s="2">
        <f t="shared" si="7"/>
        <v>1218.1204872839091</v>
      </c>
      <c r="BG33" s="2">
        <f t="shared" si="7"/>
        <v>1209.2779554123745</v>
      </c>
      <c r="BH33" s="2">
        <f t="shared" si="7"/>
        <v>1200.4996128970779</v>
      </c>
      <c r="BI33" s="2">
        <f t="shared" si="7"/>
        <v>1191.7849937771934</v>
      </c>
      <c r="BJ33" s="2">
        <f t="shared" si="7"/>
        <v>1183.1336354743794</v>
      </c>
      <c r="BK33" s="2">
        <f t="shared" si="7"/>
        <v>1174.5450787682246</v>
      </c>
      <c r="BL33" s="2">
        <f t="shared" si="7"/>
        <v>1166.0188677718722</v>
      </c>
      <c r="BM33" s="2">
        <f t="shared" si="7"/>
        <v>1157.5545499078214</v>
      </c>
      <c r="BN33" s="2">
        <f t="shared" si="7"/>
        <v>1149.1516758839039</v>
      </c>
      <c r="BO33" s="2">
        <f t="shared" si="7"/>
        <v>1140.8097996694351</v>
      </c>
      <c r="BP33" s="2">
        <f t="shared" si="7"/>
        <v>1132.5284784715388</v>
      </c>
      <c r="BQ33" s="2">
        <f t="shared" si="7"/>
        <v>1124.3072727116432</v>
      </c>
      <c r="BR33" s="2">
        <f t="shared" si="7"/>
        <v>1116.1457460021481</v>
      </c>
      <c r="BS33" s="2">
        <f t="shared" si="7"/>
        <v>1108.0434651232604</v>
      </c>
      <c r="BT33">
        <v>1100</v>
      </c>
      <c r="BU33">
        <v>1050</v>
      </c>
      <c r="BV33">
        <v>1050</v>
      </c>
      <c r="BW33">
        <v>1210</v>
      </c>
      <c r="BX33">
        <v>1280</v>
      </c>
      <c r="BY33">
        <v>1260</v>
      </c>
      <c r="BZ33">
        <v>1340</v>
      </c>
      <c r="CA33">
        <v>1115</v>
      </c>
      <c r="CB33">
        <v>1137</v>
      </c>
      <c r="CC33">
        <v>1043</v>
      </c>
      <c r="CD33">
        <v>1029</v>
      </c>
      <c r="CE33">
        <v>1032</v>
      </c>
      <c r="CF33">
        <v>932</v>
      </c>
      <c r="CG33">
        <v>1032</v>
      </c>
      <c r="CH33">
        <v>1178</v>
      </c>
      <c r="CI33">
        <v>1262</v>
      </c>
      <c r="CJ33">
        <v>1211</v>
      </c>
      <c r="CK33">
        <v>1200</v>
      </c>
      <c r="CL33">
        <v>1133</v>
      </c>
      <c r="CM33">
        <v>1060</v>
      </c>
      <c r="CN33">
        <v>1100</v>
      </c>
      <c r="CO33">
        <v>1035</v>
      </c>
      <c r="CP33">
        <v>1093</v>
      </c>
      <c r="CQ33">
        <v>1160</v>
      </c>
      <c r="CR33">
        <v>1209</v>
      </c>
      <c r="CS33">
        <v>1222</v>
      </c>
      <c r="CT33">
        <v>1154</v>
      </c>
      <c r="CU33">
        <v>1091</v>
      </c>
      <c r="CV33">
        <v>1017</v>
      </c>
      <c r="CW33">
        <v>1034</v>
      </c>
      <c r="CX33">
        <v>1014</v>
      </c>
      <c r="CY33">
        <v>1033</v>
      </c>
      <c r="CZ33">
        <v>982</v>
      </c>
      <c r="DA33">
        <v>1015</v>
      </c>
      <c r="DB33">
        <v>1001</v>
      </c>
      <c r="DC33">
        <v>944</v>
      </c>
      <c r="DD33">
        <v>877</v>
      </c>
      <c r="DE33">
        <v>861</v>
      </c>
      <c r="DF33">
        <v>840</v>
      </c>
      <c r="DG33">
        <v>904</v>
      </c>
      <c r="DH33">
        <v>892</v>
      </c>
      <c r="DI33">
        <v>868</v>
      </c>
      <c r="DJ33">
        <v>876</v>
      </c>
      <c r="DK33">
        <v>869</v>
      </c>
      <c r="DL33">
        <v>864</v>
      </c>
      <c r="DM33">
        <v>834</v>
      </c>
      <c r="DN33">
        <v>820</v>
      </c>
      <c r="DO33">
        <v>717</v>
      </c>
      <c r="DP33">
        <v>736</v>
      </c>
      <c r="DQ33">
        <v>686</v>
      </c>
      <c r="DR33">
        <v>674</v>
      </c>
      <c r="DS33">
        <v>637</v>
      </c>
    </row>
    <row r="34" spans="1:123" x14ac:dyDescent="0.35">
      <c r="A34" t="s">
        <v>10</v>
      </c>
      <c r="B34">
        <v>1528</v>
      </c>
      <c r="C34">
        <v>1580</v>
      </c>
      <c r="D34">
        <v>1548</v>
      </c>
      <c r="E34">
        <v>1676</v>
      </c>
      <c r="F34" s="2">
        <f t="shared" si="8"/>
        <v>1687.5</v>
      </c>
      <c r="G34">
        <v>1699</v>
      </c>
      <c r="H34" s="2">
        <f t="shared" si="9"/>
        <v>1715.5</v>
      </c>
      <c r="I34">
        <v>1732</v>
      </c>
      <c r="J34">
        <v>1834</v>
      </c>
      <c r="K34" s="2">
        <f t="shared" si="10"/>
        <v>1820</v>
      </c>
      <c r="L34">
        <v>1806</v>
      </c>
      <c r="M34">
        <v>1940</v>
      </c>
      <c r="N34">
        <v>2040</v>
      </c>
      <c r="O34">
        <v>2046</v>
      </c>
      <c r="P34">
        <v>1884</v>
      </c>
      <c r="Q34">
        <v>1385</v>
      </c>
      <c r="R34">
        <v>1942</v>
      </c>
      <c r="S34">
        <v>1873</v>
      </c>
      <c r="T34">
        <v>2011</v>
      </c>
      <c r="U34">
        <v>1958</v>
      </c>
      <c r="V34">
        <v>1984</v>
      </c>
      <c r="W34">
        <v>1969</v>
      </c>
      <c r="X34">
        <v>2063</v>
      </c>
      <c r="Y34">
        <v>2028</v>
      </c>
      <c r="Z34">
        <v>2059</v>
      </c>
      <c r="AA34">
        <v>1962</v>
      </c>
      <c r="AB34">
        <v>2028</v>
      </c>
      <c r="AC34">
        <v>1982</v>
      </c>
      <c r="AD34">
        <v>2105</v>
      </c>
      <c r="AE34">
        <v>1918</v>
      </c>
      <c r="AF34">
        <v>1968</v>
      </c>
      <c r="AG34">
        <v>1826</v>
      </c>
      <c r="AH34">
        <v>1748</v>
      </c>
      <c r="AI34">
        <v>1704</v>
      </c>
      <c r="AJ34" s="7">
        <v>1691</v>
      </c>
      <c r="AK34">
        <v>1755</v>
      </c>
      <c r="AL34">
        <v>1619</v>
      </c>
      <c r="AM34">
        <v>1644</v>
      </c>
      <c r="AN34">
        <v>1578</v>
      </c>
      <c r="AO34">
        <v>1572</v>
      </c>
      <c r="AP34">
        <v>1489</v>
      </c>
      <c r="AQ34">
        <v>1598</v>
      </c>
      <c r="AR34">
        <v>1508</v>
      </c>
      <c r="AS34">
        <v>1477</v>
      </c>
      <c r="AT34">
        <v>1495</v>
      </c>
      <c r="AU34">
        <v>1708</v>
      </c>
      <c r="AV34">
        <v>1540</v>
      </c>
      <c r="AW34">
        <v>1563</v>
      </c>
      <c r="AX34">
        <v>1659</v>
      </c>
      <c r="AY34">
        <v>2111</v>
      </c>
      <c r="AZ34" s="3">
        <v>1393</v>
      </c>
      <c r="BA34" s="3">
        <v>1148</v>
      </c>
      <c r="BB34">
        <v>1152</v>
      </c>
      <c r="BC34" s="3">
        <v>1156</v>
      </c>
      <c r="BD34" s="3">
        <v>1186</v>
      </c>
      <c r="BE34" s="2">
        <f t="shared" si="7"/>
        <v>1189.3050179819265</v>
      </c>
      <c r="BF34" s="2">
        <f t="shared" si="7"/>
        <v>1192.6192460345619</v>
      </c>
      <c r="BG34" s="2">
        <f t="shared" si="7"/>
        <v>1195.9427098235465</v>
      </c>
      <c r="BH34" s="2">
        <f t="shared" si="7"/>
        <v>1199.2754350860428</v>
      </c>
      <c r="BI34" s="2">
        <f t="shared" si="7"/>
        <v>1202.617447630935</v>
      </c>
      <c r="BJ34" s="2">
        <f t="shared" si="7"/>
        <v>1205.9687733390283</v>
      </c>
      <c r="BK34" s="2">
        <f t="shared" si="7"/>
        <v>1209.3294381632502</v>
      </c>
      <c r="BL34" s="2">
        <f t="shared" si="7"/>
        <v>1212.6994681288511</v>
      </c>
      <c r="BM34" s="2">
        <f t="shared" si="7"/>
        <v>1216.0788893336053</v>
      </c>
      <c r="BN34" s="2">
        <f t="shared" si="7"/>
        <v>1219.467727948014</v>
      </c>
      <c r="BO34" s="2">
        <f t="shared" si="7"/>
        <v>1222.8660102155075</v>
      </c>
      <c r="BP34" s="2">
        <f t="shared" si="7"/>
        <v>1226.2737624526483</v>
      </c>
      <c r="BQ34" s="2">
        <f t="shared" si="7"/>
        <v>1229.6910110493352</v>
      </c>
      <c r="BR34" s="2">
        <f t="shared" si="7"/>
        <v>1233.1177824690076</v>
      </c>
      <c r="BS34" s="2">
        <f t="shared" si="7"/>
        <v>1236.5541032488502</v>
      </c>
      <c r="BT34">
        <v>1240</v>
      </c>
      <c r="BU34">
        <v>1250</v>
      </c>
      <c r="BV34">
        <v>1190</v>
      </c>
      <c r="BW34">
        <v>1210</v>
      </c>
      <c r="BX34">
        <v>1040</v>
      </c>
      <c r="BY34">
        <v>1180</v>
      </c>
      <c r="BZ34">
        <v>1220</v>
      </c>
      <c r="CA34">
        <v>1109</v>
      </c>
      <c r="CB34">
        <v>1104</v>
      </c>
      <c r="CC34">
        <v>1016</v>
      </c>
      <c r="CD34">
        <v>901</v>
      </c>
      <c r="CE34">
        <v>946</v>
      </c>
      <c r="CF34">
        <v>932</v>
      </c>
      <c r="CG34">
        <v>902</v>
      </c>
      <c r="CH34">
        <v>970</v>
      </c>
      <c r="CI34">
        <v>1058</v>
      </c>
      <c r="CJ34">
        <v>1037</v>
      </c>
      <c r="CK34">
        <v>966</v>
      </c>
      <c r="CL34">
        <v>1036</v>
      </c>
      <c r="CM34">
        <v>1042</v>
      </c>
      <c r="CN34">
        <v>1097</v>
      </c>
      <c r="CO34">
        <v>1058</v>
      </c>
      <c r="CP34">
        <v>929</v>
      </c>
      <c r="CQ34">
        <v>1100</v>
      </c>
      <c r="CR34">
        <v>980</v>
      </c>
      <c r="CS34">
        <v>978</v>
      </c>
      <c r="CT34">
        <v>1030</v>
      </c>
      <c r="CU34">
        <v>1079</v>
      </c>
      <c r="CV34">
        <v>1084</v>
      </c>
      <c r="CW34">
        <v>983</v>
      </c>
      <c r="CX34">
        <v>924</v>
      </c>
      <c r="CY34">
        <v>914</v>
      </c>
      <c r="CZ34">
        <v>878</v>
      </c>
      <c r="DA34">
        <v>856</v>
      </c>
      <c r="DB34">
        <v>889</v>
      </c>
      <c r="DC34">
        <v>808</v>
      </c>
      <c r="DD34">
        <v>809</v>
      </c>
      <c r="DE34">
        <v>796</v>
      </c>
      <c r="DF34">
        <v>762</v>
      </c>
      <c r="DG34">
        <v>727</v>
      </c>
      <c r="DH34">
        <v>688</v>
      </c>
      <c r="DI34">
        <v>725</v>
      </c>
      <c r="DJ34">
        <v>666</v>
      </c>
      <c r="DK34">
        <v>736</v>
      </c>
      <c r="DL34">
        <v>733</v>
      </c>
      <c r="DM34">
        <v>788</v>
      </c>
      <c r="DN34">
        <v>717</v>
      </c>
      <c r="DO34">
        <v>655</v>
      </c>
      <c r="DP34">
        <v>614</v>
      </c>
      <c r="DQ34">
        <v>572</v>
      </c>
      <c r="DR34">
        <v>507</v>
      </c>
      <c r="DS34">
        <v>519</v>
      </c>
    </row>
    <row r="35" spans="1:123" x14ac:dyDescent="0.35">
      <c r="A35" t="s">
        <v>11</v>
      </c>
      <c r="B35">
        <v>887</v>
      </c>
      <c r="C35">
        <v>920</v>
      </c>
      <c r="D35">
        <v>948</v>
      </c>
      <c r="E35">
        <v>923</v>
      </c>
      <c r="F35" s="2">
        <f t="shared" si="8"/>
        <v>939.5</v>
      </c>
      <c r="G35">
        <v>956</v>
      </c>
      <c r="H35" s="2">
        <f t="shared" si="9"/>
        <v>984</v>
      </c>
      <c r="I35">
        <v>1012</v>
      </c>
      <c r="J35">
        <v>1019</v>
      </c>
      <c r="K35" s="2">
        <f t="shared" si="10"/>
        <v>1044</v>
      </c>
      <c r="L35">
        <v>1069</v>
      </c>
      <c r="M35">
        <v>1091</v>
      </c>
      <c r="N35">
        <v>1092</v>
      </c>
      <c r="O35">
        <v>1126</v>
      </c>
      <c r="P35">
        <v>1081</v>
      </c>
      <c r="Q35">
        <v>1100</v>
      </c>
      <c r="R35">
        <v>1037</v>
      </c>
      <c r="S35">
        <v>1095</v>
      </c>
      <c r="T35">
        <v>1136</v>
      </c>
      <c r="U35">
        <v>1126</v>
      </c>
      <c r="V35">
        <v>1109</v>
      </c>
      <c r="W35">
        <v>1122</v>
      </c>
      <c r="X35">
        <v>1164</v>
      </c>
      <c r="Y35">
        <v>1204</v>
      </c>
      <c r="Z35">
        <v>1182</v>
      </c>
      <c r="AA35">
        <v>1219</v>
      </c>
      <c r="AB35">
        <v>1269</v>
      </c>
      <c r="AC35">
        <v>1243</v>
      </c>
      <c r="AD35">
        <v>1303</v>
      </c>
      <c r="AE35">
        <v>1310</v>
      </c>
      <c r="AF35">
        <v>1355</v>
      </c>
      <c r="AG35">
        <v>1242</v>
      </c>
      <c r="AH35">
        <v>1181</v>
      </c>
      <c r="AI35">
        <v>1212</v>
      </c>
      <c r="AJ35" s="7">
        <v>1147</v>
      </c>
      <c r="AK35">
        <v>1168</v>
      </c>
      <c r="AL35">
        <v>1110</v>
      </c>
      <c r="AM35">
        <v>1091</v>
      </c>
      <c r="AN35">
        <v>1039</v>
      </c>
      <c r="AO35">
        <v>1029</v>
      </c>
      <c r="AP35">
        <v>1040</v>
      </c>
      <c r="AQ35">
        <v>1119</v>
      </c>
      <c r="AR35">
        <v>1046</v>
      </c>
      <c r="AS35">
        <v>1026</v>
      </c>
      <c r="AT35">
        <v>1018</v>
      </c>
      <c r="AU35">
        <v>1073</v>
      </c>
      <c r="AV35">
        <v>1030</v>
      </c>
      <c r="AW35">
        <v>1272</v>
      </c>
      <c r="AX35">
        <v>1342</v>
      </c>
      <c r="AY35">
        <v>1259</v>
      </c>
      <c r="AZ35" s="3">
        <v>998</v>
      </c>
      <c r="BA35" s="3">
        <v>863</v>
      </c>
      <c r="BB35">
        <v>843</v>
      </c>
      <c r="BC35" s="3">
        <v>868</v>
      </c>
      <c r="BD35" s="3">
        <v>853</v>
      </c>
      <c r="BE35" s="2">
        <f t="shared" si="7"/>
        <v>871.84403867788842</v>
      </c>
      <c r="BF35" s="2">
        <f t="shared" si="7"/>
        <v>891.10437019715289</v>
      </c>
      <c r="BG35" s="2">
        <f t="shared" si="7"/>
        <v>910.79019108581713</v>
      </c>
      <c r="BH35" s="2">
        <f t="shared" si="7"/>
        <v>930.91090103688691</v>
      </c>
      <c r="BI35" s="2">
        <f t="shared" si="7"/>
        <v>951.47610739656693</v>
      </c>
      <c r="BJ35" s="2">
        <f t="shared" si="7"/>
        <v>972.49562975162871</v>
      </c>
      <c r="BK35" s="2">
        <f t="shared" si="7"/>
        <v>993.97950461812013</v>
      </c>
      <c r="BL35" s="2">
        <f t="shared" si="7"/>
        <v>1015.9379902336563</v>
      </c>
      <c r="BM35" s="2">
        <f t="shared" si="7"/>
        <v>1038.3815714555781</v>
      </c>
      <c r="BN35" s="2">
        <f t="shared" si="7"/>
        <v>1061.3209647673195</v>
      </c>
      <c r="BO35" s="2">
        <f t="shared" si="7"/>
        <v>1084.7671233953727</v>
      </c>
      <c r="BP35" s="2">
        <f t="shared" si="7"/>
        <v>1108.7312425392931</v>
      </c>
      <c r="BQ35" s="2">
        <f t="shared" si="7"/>
        <v>1133.224764717246</v>
      </c>
      <c r="BR35" s="2">
        <f t="shared" si="7"/>
        <v>1158.2593852296409</v>
      </c>
      <c r="BS35" s="2">
        <f t="shared" si="7"/>
        <v>1183.8470577434682</v>
      </c>
      <c r="BT35">
        <v>1210</v>
      </c>
      <c r="BU35">
        <v>1260</v>
      </c>
      <c r="BV35">
        <v>1330</v>
      </c>
      <c r="BW35">
        <v>1260</v>
      </c>
      <c r="BX35">
        <v>1460</v>
      </c>
      <c r="BY35">
        <v>1450</v>
      </c>
      <c r="BZ35">
        <v>1570</v>
      </c>
      <c r="CA35">
        <v>1548</v>
      </c>
      <c r="CB35">
        <v>1539</v>
      </c>
      <c r="CC35">
        <v>1683</v>
      </c>
      <c r="CD35">
        <v>1666</v>
      </c>
      <c r="CE35">
        <v>1818</v>
      </c>
      <c r="CF35">
        <v>1624</v>
      </c>
      <c r="CG35">
        <v>1578</v>
      </c>
      <c r="CH35">
        <v>1626</v>
      </c>
      <c r="CI35">
        <v>1650</v>
      </c>
      <c r="CJ35">
        <v>1730</v>
      </c>
      <c r="CK35">
        <v>1734</v>
      </c>
      <c r="CL35">
        <v>1792</v>
      </c>
      <c r="CM35">
        <v>1836</v>
      </c>
      <c r="CN35">
        <v>1858</v>
      </c>
      <c r="CO35">
        <v>1957</v>
      </c>
      <c r="CP35">
        <v>2059</v>
      </c>
      <c r="CQ35">
        <v>2234</v>
      </c>
      <c r="CR35">
        <v>2385</v>
      </c>
      <c r="CS35">
        <v>2374</v>
      </c>
      <c r="CT35">
        <v>2693</v>
      </c>
      <c r="CU35">
        <v>2362</v>
      </c>
      <c r="CV35">
        <v>2432</v>
      </c>
      <c r="CW35">
        <v>2446</v>
      </c>
      <c r="CX35">
        <v>2469</v>
      </c>
      <c r="CY35">
        <v>2402</v>
      </c>
      <c r="CZ35">
        <v>2385</v>
      </c>
      <c r="DA35">
        <v>2264</v>
      </c>
      <c r="DB35">
        <v>2333</v>
      </c>
      <c r="DC35">
        <v>2370</v>
      </c>
      <c r="DD35">
        <v>2398</v>
      </c>
      <c r="DE35">
        <v>2469</v>
      </c>
      <c r="DF35">
        <v>2411</v>
      </c>
      <c r="DG35">
        <v>2473</v>
      </c>
      <c r="DH35">
        <v>2381</v>
      </c>
      <c r="DI35">
        <v>2374</v>
      </c>
      <c r="DJ35">
        <v>2607</v>
      </c>
      <c r="DK35">
        <v>2735</v>
      </c>
      <c r="DL35">
        <v>2620</v>
      </c>
      <c r="DM35">
        <v>2574</v>
      </c>
      <c r="DN35">
        <v>2395</v>
      </c>
      <c r="DO35">
        <v>2184</v>
      </c>
      <c r="DP35">
        <v>2036</v>
      </c>
      <c r="DQ35">
        <v>1981</v>
      </c>
      <c r="DR35">
        <v>1972</v>
      </c>
      <c r="DS35">
        <v>1816</v>
      </c>
    </row>
    <row r="36" spans="1:123" x14ac:dyDescent="0.35">
      <c r="A36" t="s">
        <v>12</v>
      </c>
      <c r="B36">
        <v>1269</v>
      </c>
      <c r="C36">
        <v>1323</v>
      </c>
      <c r="D36">
        <v>1279</v>
      </c>
      <c r="E36">
        <v>1333</v>
      </c>
      <c r="F36" s="2">
        <f t="shared" si="8"/>
        <v>1330</v>
      </c>
      <c r="G36">
        <v>1327</v>
      </c>
      <c r="H36" s="2">
        <f t="shared" si="9"/>
        <v>1290</v>
      </c>
      <c r="I36">
        <v>1253</v>
      </c>
      <c r="J36">
        <v>1426</v>
      </c>
      <c r="K36" s="2">
        <f t="shared" si="10"/>
        <v>1406.5</v>
      </c>
      <c r="L36">
        <v>1387</v>
      </c>
      <c r="M36">
        <v>1365</v>
      </c>
      <c r="N36">
        <v>1462</v>
      </c>
      <c r="O36">
        <v>1536</v>
      </c>
      <c r="P36">
        <v>1456</v>
      </c>
      <c r="Q36">
        <v>1528</v>
      </c>
      <c r="R36">
        <v>1311</v>
      </c>
      <c r="S36">
        <v>1354</v>
      </c>
      <c r="T36">
        <v>1398</v>
      </c>
      <c r="U36">
        <v>1389</v>
      </c>
      <c r="V36">
        <v>1450</v>
      </c>
      <c r="W36">
        <v>1508</v>
      </c>
      <c r="X36">
        <v>1386</v>
      </c>
      <c r="Y36">
        <v>1399</v>
      </c>
      <c r="Z36">
        <v>1440</v>
      </c>
      <c r="AA36">
        <v>1535</v>
      </c>
      <c r="AB36">
        <v>1537</v>
      </c>
      <c r="AC36">
        <v>1463</v>
      </c>
      <c r="AD36">
        <v>1535</v>
      </c>
      <c r="AE36">
        <v>1478</v>
      </c>
      <c r="AF36">
        <v>1576</v>
      </c>
      <c r="AG36">
        <v>1642</v>
      </c>
      <c r="AH36">
        <v>1682</v>
      </c>
      <c r="AI36">
        <v>1625</v>
      </c>
      <c r="AJ36" s="7">
        <v>1697</v>
      </c>
      <c r="AK36">
        <v>1686</v>
      </c>
      <c r="AL36">
        <v>1556</v>
      </c>
      <c r="AM36">
        <v>1600</v>
      </c>
      <c r="AN36">
        <v>1599</v>
      </c>
      <c r="AO36">
        <v>1647</v>
      </c>
      <c r="AP36">
        <v>1755</v>
      </c>
      <c r="AQ36">
        <v>1893</v>
      </c>
      <c r="AR36">
        <v>1614</v>
      </c>
      <c r="AS36">
        <v>1713</v>
      </c>
      <c r="AT36">
        <v>1936</v>
      </c>
      <c r="AU36">
        <v>2023</v>
      </c>
      <c r="AV36">
        <v>1812</v>
      </c>
      <c r="AW36">
        <v>2001</v>
      </c>
      <c r="AX36">
        <v>2144</v>
      </c>
      <c r="AY36">
        <v>2452</v>
      </c>
      <c r="AZ36" s="3">
        <v>1582</v>
      </c>
      <c r="BA36" s="3">
        <v>1651</v>
      </c>
      <c r="BB36">
        <v>1699</v>
      </c>
      <c r="BC36" s="3">
        <v>1772</v>
      </c>
      <c r="BD36" s="3">
        <v>1892</v>
      </c>
      <c r="BE36" s="2">
        <f t="shared" si="7"/>
        <v>1923.2998844244134</v>
      </c>
      <c r="BF36" s="2">
        <f t="shared" si="7"/>
        <v>1955.1175715787326</v>
      </c>
      <c r="BG36" s="2">
        <f t="shared" si="7"/>
        <v>1987.4616276181375</v>
      </c>
      <c r="BH36" s="2">
        <f t="shared" si="7"/>
        <v>2020.340760410106</v>
      </c>
      <c r="BI36" s="2">
        <f t="shared" si="7"/>
        <v>2053.7638218787993</v>
      </c>
      <c r="BJ36" s="2">
        <f t="shared" si="7"/>
        <v>2087.7398103882324</v>
      </c>
      <c r="BK36" s="2">
        <f t="shared" si="7"/>
        <v>2122.27787316487</v>
      </c>
      <c r="BL36" s="2">
        <f t="shared" si="7"/>
        <v>2157.3873087602983</v>
      </c>
      <c r="BM36" s="2">
        <f t="shared" si="7"/>
        <v>2193.0775695546395</v>
      </c>
      <c r="BN36" s="2">
        <f t="shared" si="7"/>
        <v>2229.3582643013801</v>
      </c>
      <c r="BO36" s="2">
        <f t="shared" si="7"/>
        <v>2266.2391607142999</v>
      </c>
      <c r="BP36" s="2">
        <f t="shared" si="7"/>
        <v>2303.730188097195</v>
      </c>
      <c r="BQ36" s="2">
        <f t="shared" si="7"/>
        <v>2341.8414400171073</v>
      </c>
      <c r="BR36" s="2">
        <f t="shared" si="7"/>
        <v>2380.5831770217783</v>
      </c>
      <c r="BS36" s="2">
        <f t="shared" si="7"/>
        <v>2419.9658294020555</v>
      </c>
      <c r="BT36">
        <v>2460</v>
      </c>
      <c r="BU36">
        <v>2520</v>
      </c>
      <c r="BV36">
        <v>2370</v>
      </c>
      <c r="BW36">
        <v>2490</v>
      </c>
      <c r="BX36">
        <v>2310</v>
      </c>
      <c r="BY36">
        <v>2370</v>
      </c>
      <c r="BZ36">
        <v>2380</v>
      </c>
      <c r="CA36">
        <v>2318</v>
      </c>
      <c r="CB36">
        <v>2300</v>
      </c>
      <c r="CC36">
        <v>2419</v>
      </c>
      <c r="CD36">
        <v>2297</v>
      </c>
      <c r="CE36">
        <v>2211</v>
      </c>
      <c r="CF36">
        <v>2197</v>
      </c>
      <c r="CG36">
        <v>2194</v>
      </c>
      <c r="CH36">
        <v>2158</v>
      </c>
      <c r="CI36">
        <v>2188</v>
      </c>
      <c r="CJ36">
        <v>2373</v>
      </c>
      <c r="CK36">
        <v>2176</v>
      </c>
      <c r="CL36">
        <v>2321</v>
      </c>
      <c r="CM36">
        <v>2220</v>
      </c>
      <c r="CN36">
        <v>2276</v>
      </c>
      <c r="CO36">
        <v>2237</v>
      </c>
      <c r="CP36">
        <v>2172</v>
      </c>
      <c r="CQ36">
        <v>2288</v>
      </c>
      <c r="CR36">
        <v>2256</v>
      </c>
      <c r="CS36">
        <v>2260</v>
      </c>
      <c r="CT36">
        <v>2405</v>
      </c>
      <c r="CU36">
        <v>2342</v>
      </c>
      <c r="CV36">
        <v>2408</v>
      </c>
      <c r="CW36">
        <v>2312</v>
      </c>
      <c r="CX36">
        <v>2264</v>
      </c>
      <c r="CY36">
        <v>2058</v>
      </c>
      <c r="CZ36">
        <v>2106</v>
      </c>
      <c r="DA36">
        <v>2040</v>
      </c>
      <c r="DB36">
        <v>2059</v>
      </c>
      <c r="DC36">
        <v>1925</v>
      </c>
      <c r="DD36">
        <v>1809</v>
      </c>
      <c r="DE36">
        <v>1932</v>
      </c>
      <c r="DF36">
        <v>1843</v>
      </c>
      <c r="DG36">
        <v>1698</v>
      </c>
      <c r="DH36">
        <v>1741</v>
      </c>
      <c r="DI36">
        <v>1640</v>
      </c>
      <c r="DJ36">
        <v>1753</v>
      </c>
      <c r="DK36">
        <v>1791</v>
      </c>
      <c r="DL36">
        <v>1699</v>
      </c>
      <c r="DM36">
        <v>1877</v>
      </c>
      <c r="DN36">
        <v>1792</v>
      </c>
      <c r="DO36">
        <v>1606</v>
      </c>
      <c r="DP36">
        <v>1578</v>
      </c>
      <c r="DQ36">
        <v>1443</v>
      </c>
      <c r="DR36">
        <v>1328</v>
      </c>
      <c r="DS36">
        <v>1386</v>
      </c>
    </row>
    <row r="37" spans="1:123" x14ac:dyDescent="0.35">
      <c r="A37" t="s">
        <v>13</v>
      </c>
      <c r="B37">
        <v>703</v>
      </c>
      <c r="C37">
        <v>709</v>
      </c>
      <c r="D37">
        <v>687</v>
      </c>
      <c r="E37">
        <v>693</v>
      </c>
      <c r="F37" s="2">
        <f t="shared" si="8"/>
        <v>676</v>
      </c>
      <c r="G37">
        <v>659</v>
      </c>
      <c r="H37" s="2">
        <f t="shared" si="9"/>
        <v>663.5</v>
      </c>
      <c r="I37">
        <v>668</v>
      </c>
      <c r="J37">
        <v>712</v>
      </c>
      <c r="K37" s="2">
        <f t="shared" si="10"/>
        <v>700.5</v>
      </c>
      <c r="L37">
        <v>689</v>
      </c>
      <c r="M37">
        <v>748</v>
      </c>
      <c r="N37">
        <v>801</v>
      </c>
      <c r="O37">
        <v>817</v>
      </c>
      <c r="P37">
        <v>828</v>
      </c>
      <c r="Q37">
        <v>804</v>
      </c>
      <c r="R37">
        <v>862</v>
      </c>
      <c r="S37">
        <v>802</v>
      </c>
      <c r="T37">
        <v>893</v>
      </c>
      <c r="U37">
        <v>861</v>
      </c>
      <c r="V37">
        <v>820</v>
      </c>
      <c r="W37">
        <v>779</v>
      </c>
      <c r="X37">
        <v>866</v>
      </c>
      <c r="Y37">
        <v>836</v>
      </c>
      <c r="Z37">
        <v>843</v>
      </c>
      <c r="AA37">
        <v>861</v>
      </c>
      <c r="AB37">
        <v>832</v>
      </c>
      <c r="AC37">
        <v>845</v>
      </c>
      <c r="AD37">
        <v>909</v>
      </c>
      <c r="AE37">
        <v>857</v>
      </c>
      <c r="AF37">
        <v>856</v>
      </c>
      <c r="AG37">
        <v>903</v>
      </c>
      <c r="AH37">
        <v>845</v>
      </c>
      <c r="AI37">
        <v>907</v>
      </c>
      <c r="AJ37" s="7">
        <v>827</v>
      </c>
      <c r="AK37">
        <v>859</v>
      </c>
      <c r="AL37">
        <v>907</v>
      </c>
      <c r="AM37">
        <v>865</v>
      </c>
      <c r="AN37">
        <v>943</v>
      </c>
      <c r="AO37">
        <v>838</v>
      </c>
      <c r="AP37">
        <v>923</v>
      </c>
      <c r="AQ37">
        <v>961</v>
      </c>
      <c r="AR37">
        <v>907</v>
      </c>
      <c r="AS37">
        <v>982</v>
      </c>
      <c r="AT37">
        <v>1078</v>
      </c>
      <c r="AU37">
        <v>1013</v>
      </c>
      <c r="AV37">
        <v>909</v>
      </c>
      <c r="AW37">
        <v>1203</v>
      </c>
      <c r="AX37">
        <v>1100</v>
      </c>
      <c r="AY37">
        <v>1245</v>
      </c>
      <c r="AZ37" s="3">
        <v>1084</v>
      </c>
      <c r="BA37" s="3">
        <v>924</v>
      </c>
      <c r="BB37">
        <v>907</v>
      </c>
      <c r="BC37" s="3">
        <v>968</v>
      </c>
      <c r="BD37" s="3">
        <v>904</v>
      </c>
      <c r="BE37" s="2">
        <f t="shared" si="7"/>
        <v>914.6334064621168</v>
      </c>
      <c r="BF37" s="2">
        <f t="shared" si="7"/>
        <v>925.39188962001742</v>
      </c>
      <c r="BG37" s="2">
        <f t="shared" si="7"/>
        <v>936.27692070306603</v>
      </c>
      <c r="BH37" s="2">
        <f t="shared" si="7"/>
        <v>947.28998824613541</v>
      </c>
      <c r="BI37" s="2">
        <f t="shared" si="7"/>
        <v>958.43259829316526</v>
      </c>
      <c r="BJ37" s="2">
        <f t="shared" si="7"/>
        <v>969.70627460311425</v>
      </c>
      <c r="BK37" s="2">
        <f t="shared" si="7"/>
        <v>981.11255885833543</v>
      </c>
      <c r="BL37" s="2">
        <f t="shared" si="7"/>
        <v>992.65301087540195</v>
      </c>
      <c r="BM37" s="2">
        <f t="shared" si="7"/>
        <v>1004.3292088184132</v>
      </c>
      <c r="BN37" s="2">
        <f t="shared" si="7"/>
        <v>1016.1427494148096</v>
      </c>
      <c r="BO37" s="2">
        <f t="shared" si="7"/>
        <v>1028.0952481737261</v>
      </c>
      <c r="BP37" s="2">
        <f t="shared" si="7"/>
        <v>1040.1883396069143</v>
      </c>
      <c r="BQ37" s="2">
        <f t="shared" si="7"/>
        <v>1052.4236774522624</v>
      </c>
      <c r="BR37" s="2">
        <f t="shared" si="7"/>
        <v>1064.8029348999455</v>
      </c>
      <c r="BS37" s="2">
        <f t="shared" si="7"/>
        <v>1077.3278048212353</v>
      </c>
      <c r="BT37">
        <v>1090</v>
      </c>
      <c r="BU37">
        <v>1160</v>
      </c>
      <c r="BV37">
        <v>1060</v>
      </c>
      <c r="BW37">
        <v>1120</v>
      </c>
      <c r="BX37">
        <v>1120</v>
      </c>
      <c r="BY37">
        <v>1200</v>
      </c>
      <c r="BZ37">
        <v>1130</v>
      </c>
      <c r="CA37">
        <v>1108</v>
      </c>
      <c r="CB37">
        <v>1020</v>
      </c>
      <c r="CC37">
        <v>975</v>
      </c>
      <c r="CD37">
        <v>952</v>
      </c>
      <c r="CE37">
        <v>939</v>
      </c>
      <c r="CF37">
        <v>938</v>
      </c>
      <c r="CG37">
        <v>954</v>
      </c>
      <c r="CH37">
        <v>1052</v>
      </c>
      <c r="CI37">
        <v>1048</v>
      </c>
      <c r="CJ37">
        <v>999</v>
      </c>
      <c r="CK37">
        <v>974</v>
      </c>
      <c r="CL37">
        <v>988</v>
      </c>
      <c r="CM37">
        <v>1048</v>
      </c>
      <c r="CN37">
        <v>1052</v>
      </c>
      <c r="CO37">
        <v>1032</v>
      </c>
      <c r="CP37">
        <v>1061</v>
      </c>
      <c r="CQ37">
        <v>1117</v>
      </c>
      <c r="CR37">
        <v>1086</v>
      </c>
      <c r="CS37">
        <v>1083</v>
      </c>
      <c r="CT37">
        <v>1020</v>
      </c>
      <c r="CU37">
        <v>1034</v>
      </c>
      <c r="CV37">
        <v>1094</v>
      </c>
      <c r="CW37">
        <v>1039</v>
      </c>
      <c r="CX37">
        <v>961</v>
      </c>
      <c r="CY37">
        <v>1015</v>
      </c>
      <c r="CZ37">
        <v>924</v>
      </c>
      <c r="DA37">
        <v>942</v>
      </c>
      <c r="DB37">
        <v>926</v>
      </c>
      <c r="DC37">
        <v>887</v>
      </c>
      <c r="DD37">
        <v>975</v>
      </c>
      <c r="DE37">
        <v>863</v>
      </c>
      <c r="DF37">
        <v>995</v>
      </c>
      <c r="DG37">
        <v>937</v>
      </c>
      <c r="DH37">
        <v>935</v>
      </c>
      <c r="DI37">
        <v>819</v>
      </c>
      <c r="DJ37">
        <v>881</v>
      </c>
      <c r="DK37">
        <v>826</v>
      </c>
      <c r="DL37">
        <v>894</v>
      </c>
      <c r="DM37">
        <v>854</v>
      </c>
      <c r="DN37">
        <v>804</v>
      </c>
      <c r="DO37">
        <v>771</v>
      </c>
      <c r="DP37">
        <v>671</v>
      </c>
      <c r="DQ37">
        <v>679</v>
      </c>
      <c r="DR37">
        <v>623</v>
      </c>
      <c r="DS37">
        <v>563</v>
      </c>
    </row>
    <row r="38" spans="1:123" x14ac:dyDescent="0.35">
      <c r="A38" t="s">
        <v>14</v>
      </c>
      <c r="B38">
        <v>900</v>
      </c>
      <c r="C38">
        <v>886</v>
      </c>
      <c r="D38">
        <v>990</v>
      </c>
      <c r="E38">
        <v>869</v>
      </c>
      <c r="F38" s="2">
        <f t="shared" si="8"/>
        <v>993</v>
      </c>
      <c r="G38">
        <v>1117</v>
      </c>
      <c r="H38" s="2">
        <f t="shared" si="9"/>
        <v>1103</v>
      </c>
      <c r="I38">
        <v>1089</v>
      </c>
      <c r="J38">
        <v>1215</v>
      </c>
      <c r="K38" s="2">
        <f t="shared" si="10"/>
        <v>1154</v>
      </c>
      <c r="L38">
        <v>1093</v>
      </c>
      <c r="M38">
        <v>1339</v>
      </c>
      <c r="N38">
        <v>1594</v>
      </c>
      <c r="O38">
        <v>1436</v>
      </c>
      <c r="P38">
        <v>1385</v>
      </c>
      <c r="Q38">
        <v>1276</v>
      </c>
      <c r="R38">
        <v>1205</v>
      </c>
      <c r="S38">
        <v>1278</v>
      </c>
      <c r="T38">
        <v>1358</v>
      </c>
      <c r="U38">
        <v>1499</v>
      </c>
      <c r="V38">
        <v>1484</v>
      </c>
      <c r="W38">
        <v>1372</v>
      </c>
      <c r="X38">
        <v>1351</v>
      </c>
      <c r="Y38">
        <v>1271</v>
      </c>
      <c r="Z38">
        <v>1421</v>
      </c>
      <c r="AA38">
        <v>1403</v>
      </c>
      <c r="AB38">
        <v>1545</v>
      </c>
      <c r="AC38">
        <v>1494</v>
      </c>
      <c r="AD38">
        <v>1654</v>
      </c>
      <c r="AE38">
        <v>1635</v>
      </c>
      <c r="AF38">
        <v>1738</v>
      </c>
      <c r="AG38">
        <v>1684</v>
      </c>
      <c r="AH38">
        <v>1640</v>
      </c>
      <c r="AI38">
        <v>1563</v>
      </c>
      <c r="AJ38" s="7">
        <v>1610</v>
      </c>
      <c r="AK38">
        <v>1617</v>
      </c>
      <c r="AL38">
        <v>1593</v>
      </c>
      <c r="AM38">
        <v>1708</v>
      </c>
      <c r="AN38">
        <v>1679</v>
      </c>
      <c r="AO38">
        <v>1748</v>
      </c>
      <c r="AP38">
        <v>1711</v>
      </c>
      <c r="AQ38">
        <v>1620</v>
      </c>
      <c r="AR38">
        <v>1804</v>
      </c>
      <c r="AS38">
        <v>1865</v>
      </c>
      <c r="AT38">
        <v>2076</v>
      </c>
      <c r="AU38">
        <v>2409</v>
      </c>
      <c r="AV38">
        <v>2350</v>
      </c>
      <c r="AW38">
        <v>2593</v>
      </c>
      <c r="AX38">
        <v>2827</v>
      </c>
      <c r="AY38">
        <v>3772</v>
      </c>
      <c r="AZ38" s="3">
        <v>1748</v>
      </c>
      <c r="BA38" s="3">
        <v>1440</v>
      </c>
      <c r="BB38">
        <v>1312</v>
      </c>
      <c r="BC38" s="3">
        <v>1232</v>
      </c>
      <c r="BD38" s="3">
        <v>1285</v>
      </c>
      <c r="BE38" s="2">
        <f t="shared" si="7"/>
        <v>1312.3546480482803</v>
      </c>
      <c r="BF38" s="2">
        <f t="shared" si="7"/>
        <v>1340.2916126489692</v>
      </c>
      <c r="BG38" s="2">
        <f t="shared" si="7"/>
        <v>1368.8232899610894</v>
      </c>
      <c r="BH38" s="2">
        <f t="shared" si="7"/>
        <v>1397.9623400289295</v>
      </c>
      <c r="BI38" s="2">
        <f t="shared" si="7"/>
        <v>1427.7216923995454</v>
      </c>
      <c r="BJ38" s="2">
        <f t="shared" si="7"/>
        <v>1458.1145518598446</v>
      </c>
      <c r="BK38" s="2">
        <f t="shared" si="7"/>
        <v>1489.1544042957994</v>
      </c>
      <c r="BL38" s="2">
        <f t="shared" si="7"/>
        <v>1520.8550226763894</v>
      </c>
      <c r="BM38" s="2">
        <f t="shared" si="7"/>
        <v>1553.2304731649278</v>
      </c>
      <c r="BN38" s="2">
        <f t="shared" si="7"/>
        <v>1586.2951213604845</v>
      </c>
      <c r="BO38" s="2">
        <f t="shared" si="7"/>
        <v>1620.0636386721733</v>
      </c>
      <c r="BP38" s="2">
        <f t="shared" si="7"/>
        <v>1654.5510088291333</v>
      </c>
      <c r="BQ38" s="2">
        <f t="shared" si="7"/>
        <v>1689.7725345290928</v>
      </c>
      <c r="BR38" s="2">
        <f t="shared" si="7"/>
        <v>1725.7438442284654</v>
      </c>
      <c r="BS38" s="2">
        <f t="shared" si="7"/>
        <v>1762.4808990769914</v>
      </c>
      <c r="BT38">
        <v>1800</v>
      </c>
      <c r="BU38">
        <v>1900</v>
      </c>
      <c r="BV38">
        <v>1820</v>
      </c>
      <c r="BW38">
        <v>1580</v>
      </c>
      <c r="BX38">
        <v>1610</v>
      </c>
      <c r="BY38">
        <v>1610</v>
      </c>
      <c r="BZ38">
        <v>1900</v>
      </c>
      <c r="CA38">
        <v>1613</v>
      </c>
      <c r="CB38">
        <v>1683</v>
      </c>
      <c r="CC38">
        <v>1597</v>
      </c>
      <c r="CD38">
        <v>1616</v>
      </c>
      <c r="CE38">
        <v>1508</v>
      </c>
      <c r="CF38">
        <v>1528</v>
      </c>
      <c r="CG38">
        <v>1558</v>
      </c>
      <c r="CH38">
        <v>1714</v>
      </c>
      <c r="CI38">
        <v>1688</v>
      </c>
      <c r="CJ38">
        <v>1703</v>
      </c>
      <c r="CK38">
        <v>1750</v>
      </c>
      <c r="CL38">
        <v>1927</v>
      </c>
      <c r="CM38">
        <v>2158</v>
      </c>
      <c r="CN38">
        <v>1990</v>
      </c>
      <c r="CO38">
        <v>2030</v>
      </c>
      <c r="CP38">
        <v>1976</v>
      </c>
      <c r="CQ38">
        <v>2173</v>
      </c>
      <c r="CR38">
        <v>2116</v>
      </c>
      <c r="CS38">
        <v>2130</v>
      </c>
      <c r="CT38">
        <v>2291</v>
      </c>
      <c r="CU38">
        <v>2045</v>
      </c>
      <c r="CV38">
        <v>2061</v>
      </c>
      <c r="CW38">
        <v>2103</v>
      </c>
      <c r="CX38">
        <v>1999</v>
      </c>
      <c r="CY38">
        <v>1888</v>
      </c>
      <c r="CZ38">
        <v>1776</v>
      </c>
      <c r="DA38">
        <v>1805</v>
      </c>
      <c r="DB38">
        <v>1846</v>
      </c>
      <c r="DC38">
        <v>1613</v>
      </c>
      <c r="DD38">
        <v>1504</v>
      </c>
      <c r="DE38">
        <v>1581</v>
      </c>
      <c r="DF38">
        <v>1749</v>
      </c>
      <c r="DG38">
        <v>1768</v>
      </c>
      <c r="DH38">
        <v>1605</v>
      </c>
      <c r="DI38">
        <v>1626</v>
      </c>
      <c r="DJ38">
        <v>1611</v>
      </c>
      <c r="DK38">
        <v>1660</v>
      </c>
      <c r="DL38">
        <v>1638</v>
      </c>
      <c r="DM38">
        <v>1760</v>
      </c>
      <c r="DN38">
        <v>1676</v>
      </c>
      <c r="DO38">
        <v>1620</v>
      </c>
      <c r="DP38">
        <v>1618</v>
      </c>
      <c r="DQ38">
        <v>1486</v>
      </c>
      <c r="DR38">
        <v>1309</v>
      </c>
      <c r="DS38">
        <v>1311</v>
      </c>
    </row>
    <row r="39" spans="1:123" x14ac:dyDescent="0.35">
      <c r="A39" t="s">
        <v>15</v>
      </c>
      <c r="B39">
        <v>1115</v>
      </c>
      <c r="C39">
        <v>1186</v>
      </c>
      <c r="D39">
        <v>1111</v>
      </c>
      <c r="E39">
        <v>1280</v>
      </c>
      <c r="F39" s="2">
        <f t="shared" si="8"/>
        <v>1263</v>
      </c>
      <c r="G39">
        <v>1246</v>
      </c>
      <c r="H39" s="2">
        <f t="shared" si="9"/>
        <v>1249</v>
      </c>
      <c r="I39">
        <v>1252</v>
      </c>
      <c r="J39">
        <v>1361</v>
      </c>
      <c r="K39" s="2">
        <f t="shared" si="10"/>
        <v>1361.5</v>
      </c>
      <c r="L39">
        <v>1362</v>
      </c>
      <c r="M39">
        <v>1323</v>
      </c>
      <c r="N39">
        <v>1381</v>
      </c>
      <c r="O39">
        <v>1404</v>
      </c>
      <c r="P39">
        <v>1310</v>
      </c>
      <c r="Q39">
        <v>1337</v>
      </c>
      <c r="R39">
        <v>1337</v>
      </c>
      <c r="S39">
        <v>1371</v>
      </c>
      <c r="T39">
        <v>1536</v>
      </c>
      <c r="U39">
        <v>1504</v>
      </c>
      <c r="V39">
        <v>1422</v>
      </c>
      <c r="W39">
        <v>1513</v>
      </c>
      <c r="X39">
        <v>1564</v>
      </c>
      <c r="Y39">
        <v>1576</v>
      </c>
      <c r="Z39">
        <v>1651</v>
      </c>
      <c r="AA39">
        <v>1605</v>
      </c>
      <c r="AB39">
        <v>1615</v>
      </c>
      <c r="AC39">
        <v>1736</v>
      </c>
      <c r="AD39">
        <v>1705</v>
      </c>
      <c r="AE39">
        <v>1770</v>
      </c>
      <c r="AF39">
        <v>1814</v>
      </c>
      <c r="AG39">
        <v>1804</v>
      </c>
      <c r="AH39">
        <v>1600</v>
      </c>
      <c r="AI39">
        <v>1451</v>
      </c>
      <c r="AJ39" s="7">
        <v>1403</v>
      </c>
      <c r="AK39">
        <v>1492</v>
      </c>
      <c r="AL39">
        <v>1406</v>
      </c>
      <c r="AM39">
        <v>1419</v>
      </c>
      <c r="AN39">
        <v>1461</v>
      </c>
      <c r="AO39">
        <v>1410</v>
      </c>
      <c r="AP39">
        <v>1368</v>
      </c>
      <c r="AQ39">
        <v>1368</v>
      </c>
      <c r="AR39">
        <v>1331</v>
      </c>
      <c r="AS39">
        <v>1257</v>
      </c>
      <c r="AT39">
        <v>1432</v>
      </c>
      <c r="AU39">
        <v>1534</v>
      </c>
      <c r="AV39">
        <v>1595</v>
      </c>
      <c r="AW39">
        <v>1628</v>
      </c>
      <c r="AX39">
        <v>1585</v>
      </c>
      <c r="AY39">
        <v>1987</v>
      </c>
      <c r="AZ39" s="3">
        <v>1194</v>
      </c>
      <c r="BA39" s="3">
        <v>1056</v>
      </c>
      <c r="BB39">
        <v>1004</v>
      </c>
      <c r="BC39" s="3">
        <v>965</v>
      </c>
      <c r="BD39" s="3">
        <v>1039</v>
      </c>
      <c r="BE39" s="2">
        <f t="shared" si="7"/>
        <v>1043.8863103949172</v>
      </c>
      <c r="BF39" s="2">
        <f t="shared" si="7"/>
        <v>1048.7956006062691</v>
      </c>
      <c r="BG39" s="2">
        <f t="shared" si="7"/>
        <v>1053.7279787057744</v>
      </c>
      <c r="BH39" s="2">
        <f t="shared" si="7"/>
        <v>1058.6835532734021</v>
      </c>
      <c r="BI39" s="2">
        <f t="shared" si="7"/>
        <v>1063.662433399762</v>
      </c>
      <c r="BJ39" s="2">
        <f t="shared" si="7"/>
        <v>1068.6647286885054</v>
      </c>
      <c r="BK39" s="2">
        <f t="shared" si="7"/>
        <v>1073.6905492587384</v>
      </c>
      <c r="BL39" s="2">
        <f t="shared" si="7"/>
        <v>1078.7400057474463</v>
      </c>
      <c r="BM39" s="2">
        <f t="shared" si="7"/>
        <v>1083.8132093119284</v>
      </c>
      <c r="BN39" s="2">
        <f t="shared" si="7"/>
        <v>1088.9102716322457</v>
      </c>
      <c r="BO39" s="2">
        <f t="shared" si="7"/>
        <v>1094.0313049136787</v>
      </c>
      <c r="BP39" s="2">
        <f t="shared" si="7"/>
        <v>1099.1764218891981</v>
      </c>
      <c r="BQ39" s="2">
        <f t="shared" si="7"/>
        <v>1104.3457358219462</v>
      </c>
      <c r="BR39" s="2">
        <f t="shared" si="7"/>
        <v>1109.53936050773</v>
      </c>
      <c r="BS39" s="2">
        <f t="shared" si="7"/>
        <v>1114.7574102775268</v>
      </c>
      <c r="BT39">
        <v>1120</v>
      </c>
      <c r="BU39">
        <v>1090</v>
      </c>
      <c r="BV39">
        <v>1060</v>
      </c>
      <c r="BW39">
        <v>1170</v>
      </c>
      <c r="BX39">
        <v>1200</v>
      </c>
      <c r="BY39">
        <v>1360</v>
      </c>
      <c r="BZ39">
        <v>1240</v>
      </c>
      <c r="CA39">
        <v>1198</v>
      </c>
      <c r="CB39">
        <v>1160</v>
      </c>
      <c r="CC39">
        <v>1066</v>
      </c>
      <c r="CD39">
        <v>1045</v>
      </c>
      <c r="CE39">
        <v>1134</v>
      </c>
      <c r="CF39">
        <v>1105</v>
      </c>
      <c r="CG39">
        <v>1054</v>
      </c>
      <c r="CH39">
        <v>1160</v>
      </c>
      <c r="CI39">
        <v>1264</v>
      </c>
      <c r="CJ39">
        <v>1068</v>
      </c>
      <c r="CK39">
        <v>1132</v>
      </c>
      <c r="CL39">
        <v>1191</v>
      </c>
      <c r="CM39">
        <v>1192</v>
      </c>
      <c r="CN39">
        <v>1204</v>
      </c>
      <c r="CO39">
        <v>1218</v>
      </c>
      <c r="CP39">
        <v>1129</v>
      </c>
      <c r="CQ39">
        <v>1228</v>
      </c>
      <c r="CR39">
        <v>1260</v>
      </c>
      <c r="CS39">
        <v>1257</v>
      </c>
      <c r="CT39">
        <v>1284</v>
      </c>
      <c r="CU39">
        <v>1207</v>
      </c>
      <c r="CV39">
        <v>1109</v>
      </c>
      <c r="CW39">
        <v>1224</v>
      </c>
      <c r="CX39">
        <v>1048</v>
      </c>
      <c r="CY39">
        <v>1047</v>
      </c>
      <c r="CZ39">
        <v>1052</v>
      </c>
      <c r="DA39">
        <v>1064</v>
      </c>
      <c r="DB39">
        <v>1028</v>
      </c>
      <c r="DC39">
        <v>968</v>
      </c>
      <c r="DD39">
        <v>918</v>
      </c>
      <c r="DE39">
        <v>924</v>
      </c>
      <c r="DF39">
        <v>1001</v>
      </c>
      <c r="DG39">
        <v>1013</v>
      </c>
      <c r="DH39">
        <v>1016</v>
      </c>
      <c r="DI39">
        <v>988</v>
      </c>
      <c r="DJ39">
        <v>964</v>
      </c>
      <c r="DK39">
        <v>1041</v>
      </c>
      <c r="DL39">
        <v>963</v>
      </c>
      <c r="DM39">
        <v>992</v>
      </c>
      <c r="DN39">
        <v>1004</v>
      </c>
      <c r="DO39">
        <v>932</v>
      </c>
      <c r="DP39">
        <v>820</v>
      </c>
      <c r="DQ39">
        <v>806</v>
      </c>
      <c r="DR39">
        <v>782</v>
      </c>
      <c r="DS39">
        <v>754</v>
      </c>
    </row>
    <row r="40" spans="1:123" x14ac:dyDescent="0.35">
      <c r="A40" t="s">
        <v>16</v>
      </c>
      <c r="B40">
        <v>1495</v>
      </c>
      <c r="C40">
        <v>1486</v>
      </c>
      <c r="D40">
        <v>1514</v>
      </c>
      <c r="E40">
        <v>1496</v>
      </c>
      <c r="F40" s="2">
        <f t="shared" si="8"/>
        <v>1578.5</v>
      </c>
      <c r="G40">
        <v>1661</v>
      </c>
      <c r="H40" s="2">
        <f t="shared" si="9"/>
        <v>1591</v>
      </c>
      <c r="I40">
        <v>1521</v>
      </c>
      <c r="J40">
        <v>1656</v>
      </c>
      <c r="K40" s="2">
        <f t="shared" si="10"/>
        <v>1600.5</v>
      </c>
      <c r="L40">
        <v>1545</v>
      </c>
      <c r="M40">
        <v>1608</v>
      </c>
      <c r="N40">
        <v>1723</v>
      </c>
      <c r="O40">
        <v>1778</v>
      </c>
      <c r="P40">
        <v>1808</v>
      </c>
      <c r="Q40">
        <v>1811</v>
      </c>
      <c r="R40">
        <v>1681</v>
      </c>
      <c r="S40">
        <v>1790</v>
      </c>
      <c r="T40">
        <v>1826</v>
      </c>
      <c r="U40">
        <v>1832</v>
      </c>
      <c r="V40">
        <v>1927</v>
      </c>
      <c r="W40">
        <v>1936</v>
      </c>
      <c r="X40">
        <v>1855</v>
      </c>
      <c r="Y40">
        <v>1861</v>
      </c>
      <c r="Z40">
        <v>1884</v>
      </c>
      <c r="AA40">
        <v>1993</v>
      </c>
      <c r="AB40">
        <v>2021</v>
      </c>
      <c r="AC40">
        <v>2006</v>
      </c>
      <c r="AD40">
        <v>2015</v>
      </c>
      <c r="AE40">
        <v>2081</v>
      </c>
      <c r="AF40">
        <v>2123</v>
      </c>
      <c r="AG40">
        <v>2171</v>
      </c>
      <c r="AH40">
        <v>2108</v>
      </c>
      <c r="AI40">
        <v>1924</v>
      </c>
      <c r="AJ40" s="7">
        <v>1904</v>
      </c>
      <c r="AK40">
        <v>1967</v>
      </c>
      <c r="AL40">
        <v>1982</v>
      </c>
      <c r="AM40">
        <v>1967</v>
      </c>
      <c r="AN40">
        <v>1899</v>
      </c>
      <c r="AO40">
        <v>1943</v>
      </c>
      <c r="AP40">
        <v>2037</v>
      </c>
      <c r="AQ40">
        <v>2209</v>
      </c>
      <c r="AR40">
        <v>2127</v>
      </c>
      <c r="AS40">
        <v>2136</v>
      </c>
      <c r="AT40">
        <v>2225</v>
      </c>
      <c r="AU40">
        <v>2590</v>
      </c>
      <c r="AV40">
        <v>2576</v>
      </c>
      <c r="AW40">
        <v>2128</v>
      </c>
      <c r="AX40">
        <v>2146</v>
      </c>
      <c r="AY40">
        <v>2400</v>
      </c>
      <c r="AZ40" s="3">
        <v>2263</v>
      </c>
      <c r="BA40" s="3">
        <v>1434</v>
      </c>
      <c r="BB40">
        <v>1436</v>
      </c>
      <c r="BC40" s="3">
        <v>1529</v>
      </c>
      <c r="BD40" s="3">
        <v>1788</v>
      </c>
      <c r="BE40" s="2">
        <f t="shared" si="7"/>
        <v>1824.4757880877762</v>
      </c>
      <c r="BF40" s="2">
        <f t="shared" si="7"/>
        <v>1861.695694249727</v>
      </c>
      <c r="BG40" s="2">
        <f t="shared" si="7"/>
        <v>1899.6748987393123</v>
      </c>
      <c r="BH40" s="2">
        <f t="shared" si="7"/>
        <v>1938.4288914921551</v>
      </c>
      <c r="BI40" s="2">
        <f t="shared" si="7"/>
        <v>1977.97347844366</v>
      </c>
      <c r="BJ40" s="2">
        <f t="shared" si="7"/>
        <v>2018.3247879755127</v>
      </c>
      <c r="BK40" s="2">
        <f t="shared" si="7"/>
        <v>2059.49927749369</v>
      </c>
      <c r="BL40" s="2">
        <f t="shared" si="7"/>
        <v>2101.5137401406632</v>
      </c>
      <c r="BM40" s="2">
        <f t="shared" si="7"/>
        <v>2144.3853116445339</v>
      </c>
      <c r="BN40" s="2">
        <f t="shared" si="7"/>
        <v>2188.131477307893</v>
      </c>
      <c r="BO40" s="2">
        <f t="shared" si="7"/>
        <v>2232.7700791392549</v>
      </c>
      <c r="BP40" s="2">
        <f t="shared" si="7"/>
        <v>2278.319323129977</v>
      </c>
      <c r="BQ40" s="2">
        <f t="shared" si="7"/>
        <v>2324.7977866796273</v>
      </c>
      <c r="BR40" s="2">
        <f t="shared" si="7"/>
        <v>2372.224426172836</v>
      </c>
      <c r="BS40" s="2">
        <f t="shared" si="7"/>
        <v>2420.6185847107145</v>
      </c>
      <c r="BT40">
        <v>2470</v>
      </c>
      <c r="BU40">
        <v>2530</v>
      </c>
      <c r="BV40">
        <v>2610</v>
      </c>
      <c r="BW40">
        <v>2680</v>
      </c>
      <c r="BX40">
        <v>2750</v>
      </c>
      <c r="BY40">
        <v>2770</v>
      </c>
      <c r="BZ40">
        <v>2850</v>
      </c>
      <c r="CA40">
        <v>2818</v>
      </c>
      <c r="CB40">
        <v>2827</v>
      </c>
      <c r="CC40">
        <v>2672</v>
      </c>
      <c r="CD40">
        <v>2686</v>
      </c>
      <c r="CE40">
        <v>2622</v>
      </c>
      <c r="CF40">
        <v>2589</v>
      </c>
      <c r="CG40">
        <v>2564</v>
      </c>
      <c r="CH40">
        <v>2542</v>
      </c>
      <c r="CI40">
        <v>2738</v>
      </c>
      <c r="CJ40">
        <v>2632</v>
      </c>
      <c r="CK40">
        <v>2510</v>
      </c>
      <c r="CL40">
        <v>2592</v>
      </c>
      <c r="CM40">
        <v>2544</v>
      </c>
      <c r="CN40">
        <v>2677</v>
      </c>
      <c r="CO40">
        <v>2484</v>
      </c>
      <c r="CP40">
        <v>2468</v>
      </c>
      <c r="CQ40">
        <v>2683</v>
      </c>
      <c r="CR40">
        <v>2872</v>
      </c>
      <c r="CS40">
        <v>2861</v>
      </c>
      <c r="CT40">
        <v>2755</v>
      </c>
      <c r="CU40">
        <v>2771</v>
      </c>
      <c r="CV40">
        <v>2605</v>
      </c>
      <c r="CW40">
        <v>2590</v>
      </c>
      <c r="CX40">
        <v>2509</v>
      </c>
      <c r="CY40">
        <v>2410</v>
      </c>
      <c r="CZ40">
        <v>2441</v>
      </c>
      <c r="DA40">
        <v>2186</v>
      </c>
      <c r="DB40">
        <v>2237</v>
      </c>
      <c r="DC40">
        <v>2102</v>
      </c>
      <c r="DD40">
        <v>2112</v>
      </c>
      <c r="DE40">
        <v>2075</v>
      </c>
      <c r="DF40">
        <v>2169</v>
      </c>
      <c r="DG40">
        <v>2056</v>
      </c>
      <c r="DH40">
        <v>2101</v>
      </c>
      <c r="DI40">
        <v>2189</v>
      </c>
      <c r="DJ40">
        <v>2197</v>
      </c>
      <c r="DK40">
        <v>2356</v>
      </c>
      <c r="DL40">
        <v>2251</v>
      </c>
      <c r="DM40">
        <v>2302</v>
      </c>
      <c r="DN40">
        <v>2192</v>
      </c>
      <c r="DO40">
        <v>2092</v>
      </c>
      <c r="DP40">
        <v>1952</v>
      </c>
      <c r="DQ40">
        <v>1797</v>
      </c>
      <c r="DR40">
        <v>1694</v>
      </c>
      <c r="DS40">
        <v>1569</v>
      </c>
    </row>
    <row r="41" spans="1:123" x14ac:dyDescent="0.35">
      <c r="A41" t="s">
        <v>17</v>
      </c>
      <c r="B41">
        <v>1550</v>
      </c>
      <c r="C41">
        <v>1615</v>
      </c>
      <c r="D41">
        <v>1514</v>
      </c>
      <c r="E41">
        <v>1572</v>
      </c>
      <c r="F41" s="2">
        <f t="shared" si="8"/>
        <v>1558.5</v>
      </c>
      <c r="G41">
        <v>1545</v>
      </c>
      <c r="H41" s="2">
        <f t="shared" si="9"/>
        <v>1596</v>
      </c>
      <c r="I41">
        <v>1647</v>
      </c>
      <c r="J41">
        <v>1684</v>
      </c>
      <c r="K41" s="2">
        <f t="shared" si="10"/>
        <v>1712</v>
      </c>
      <c r="L41">
        <v>1740</v>
      </c>
      <c r="M41">
        <v>1737</v>
      </c>
      <c r="N41">
        <v>1712</v>
      </c>
      <c r="O41">
        <v>1749</v>
      </c>
      <c r="P41">
        <v>1696</v>
      </c>
      <c r="Q41">
        <v>1632</v>
      </c>
      <c r="R41">
        <v>1665</v>
      </c>
      <c r="S41">
        <v>1499</v>
      </c>
      <c r="T41">
        <v>1628</v>
      </c>
      <c r="U41">
        <v>1618</v>
      </c>
      <c r="V41">
        <v>1541</v>
      </c>
      <c r="W41">
        <v>1550</v>
      </c>
      <c r="X41">
        <v>1594</v>
      </c>
      <c r="Y41">
        <v>1664</v>
      </c>
      <c r="Z41">
        <v>1594</v>
      </c>
      <c r="AA41">
        <v>1604</v>
      </c>
      <c r="AB41">
        <v>1541</v>
      </c>
      <c r="AC41">
        <v>1524</v>
      </c>
      <c r="AD41">
        <v>1564</v>
      </c>
      <c r="AE41">
        <v>1500</v>
      </c>
      <c r="AF41">
        <v>1527</v>
      </c>
      <c r="AG41">
        <v>1517</v>
      </c>
      <c r="AH41">
        <v>1466</v>
      </c>
      <c r="AI41">
        <v>1430</v>
      </c>
      <c r="AJ41" s="7">
        <v>1442</v>
      </c>
      <c r="AK41">
        <v>1455</v>
      </c>
      <c r="AL41">
        <v>1348</v>
      </c>
      <c r="AM41">
        <v>1413</v>
      </c>
      <c r="AN41">
        <v>1384</v>
      </c>
      <c r="AO41">
        <v>1414</v>
      </c>
      <c r="AP41">
        <v>1416</v>
      </c>
      <c r="AQ41">
        <v>1301</v>
      </c>
      <c r="AR41">
        <v>1233</v>
      </c>
      <c r="AS41">
        <v>1250</v>
      </c>
      <c r="AT41">
        <v>1253</v>
      </c>
      <c r="AU41">
        <v>1264</v>
      </c>
      <c r="AV41">
        <v>1318</v>
      </c>
      <c r="AW41">
        <v>1690</v>
      </c>
      <c r="AX41">
        <v>1649</v>
      </c>
      <c r="AY41">
        <v>1796</v>
      </c>
      <c r="AZ41" s="3">
        <v>1310</v>
      </c>
      <c r="BA41" s="3">
        <v>1277</v>
      </c>
      <c r="BB41">
        <v>1271</v>
      </c>
      <c r="BC41" s="3">
        <v>1257</v>
      </c>
      <c r="BD41" s="3">
        <v>1437</v>
      </c>
      <c r="BE41" s="2">
        <f t="shared" si="7"/>
        <v>1455.9147567545858</v>
      </c>
      <c r="BF41" s="2">
        <f t="shared" si="7"/>
        <v>1475.0784822099965</v>
      </c>
      <c r="BG41" s="2">
        <f t="shared" si="7"/>
        <v>1494.494453459075</v>
      </c>
      <c r="BH41" s="2">
        <f t="shared" si="7"/>
        <v>1514.1659907299561</v>
      </c>
      <c r="BI41" s="2">
        <f t="shared" si="7"/>
        <v>1534.0964579538418</v>
      </c>
      <c r="BJ41" s="2">
        <f t="shared" si="7"/>
        <v>1554.28926334025</v>
      </c>
      <c r="BK41" s="2">
        <f t="shared" si="7"/>
        <v>1574.7478599598362</v>
      </c>
      <c r="BL41" s="2">
        <f t="shared" si="7"/>
        <v>1595.4757463348849</v>
      </c>
      <c r="BM41" s="2">
        <f t="shared" si="7"/>
        <v>1616.476467037575</v>
      </c>
      <c r="BN41" s="2">
        <f t="shared" si="7"/>
        <v>1637.7536132961193</v>
      </c>
      <c r="BO41" s="2">
        <f t="shared" si="7"/>
        <v>1659.3108236088822</v>
      </c>
      <c r="BP41" s="2">
        <f t="shared" si="7"/>
        <v>1681.1517843665813</v>
      </c>
      <c r="BQ41" s="2">
        <f t="shared" si="7"/>
        <v>1703.2802304826787</v>
      </c>
      <c r="BR41" s="2">
        <f t="shared" si="7"/>
        <v>1725.6999460320696</v>
      </c>
      <c r="BS41" s="2">
        <f t="shared" si="7"/>
        <v>1748.4147648981786</v>
      </c>
      <c r="BT41" s="9">
        <f>+'[1]tabla total (datos finales msp)'!BT41/(1+'[1]Tasa de Descuento'!$K$26)</f>
        <v>1771.4285714285716</v>
      </c>
      <c r="BU41" s="9">
        <f>+'[1]tabla total (datos finales msp)'!BU41/(1+'[1]Tasa de Descuento'!$K$26)</f>
        <v>1714.2857142857144</v>
      </c>
      <c r="BV41" s="9">
        <f>+'[1]tabla total (datos finales msp)'!BV41/(1+'[1]Tasa de Descuento'!$K$26)</f>
        <v>1957.1428571428573</v>
      </c>
      <c r="BW41" s="9">
        <f>+'[1]tabla total (datos finales msp)'!BW41/(1+'[1]Tasa de Descuento'!$K$26)</f>
        <v>2000.0000000000002</v>
      </c>
      <c r="BX41" s="9">
        <f>+'[1]tabla total (datos finales msp)'!BX41/(1+'[1]Tasa de Descuento'!$K$26)</f>
        <v>1857.1428571428573</v>
      </c>
      <c r="BY41" s="9">
        <f>+'[1]tabla total (datos finales msp)'!BY41/(1+'[1]Tasa de Descuento'!$K$26)</f>
        <v>2057.1428571428573</v>
      </c>
      <c r="BZ41" s="9">
        <f>+'[1]tabla total (datos finales msp)'!BZ41/(1+'[1]Tasa de Descuento'!$K$26)</f>
        <v>2171.4285714285716</v>
      </c>
      <c r="CA41" s="9">
        <f>+'[1]tabla total (datos finales msp)'!CA41/(1+'[1]Tasa de Descuento'!$K$26)</f>
        <v>2008.5714285714287</v>
      </c>
      <c r="CB41" s="9">
        <f>+'[1]tabla total (datos finales msp)'!CB41/(1+'[1]Tasa de Descuento'!$K$26)</f>
        <v>1862.8571428571429</v>
      </c>
      <c r="CC41" s="9">
        <f>+'[1]tabla total (datos finales msp)'!CC41/(1+'[1]Tasa de Descuento'!$K$26)</f>
        <v>1655.7142857142858</v>
      </c>
      <c r="CD41" s="9">
        <f>+'[1]tabla total (datos finales msp)'!CD41/(1+'[1]Tasa de Descuento'!$K$26)</f>
        <v>1512.8571428571429</v>
      </c>
      <c r="CE41" s="9">
        <f>+'[1]tabla total (datos finales msp)'!CE41/(1+'[1]Tasa de Descuento'!$K$26)</f>
        <v>1495.7142857142858</v>
      </c>
      <c r="CF41" s="9">
        <f>+'[1]tabla total (datos finales msp)'!CF41/(1+'[1]Tasa de Descuento'!$K$26)</f>
        <v>1407.1428571428573</v>
      </c>
      <c r="CG41" s="9">
        <f>+'[1]tabla total (datos finales msp)'!CG41/(1+'[1]Tasa de Descuento'!$K$26)</f>
        <v>1548.5714285714287</v>
      </c>
      <c r="CH41" s="8">
        <v>1668</v>
      </c>
      <c r="CI41">
        <v>1552</v>
      </c>
      <c r="CJ41">
        <v>1730</v>
      </c>
      <c r="CK41">
        <v>1510</v>
      </c>
      <c r="CL41">
        <v>1571</v>
      </c>
      <c r="CM41">
        <v>1546</v>
      </c>
      <c r="CN41">
        <v>1605</v>
      </c>
      <c r="CO41">
        <v>1456</v>
      </c>
      <c r="CP41">
        <v>1926</v>
      </c>
      <c r="CQ41">
        <v>1707</v>
      </c>
      <c r="CR41">
        <v>1467</v>
      </c>
      <c r="CS41">
        <v>1466</v>
      </c>
      <c r="CT41">
        <v>1686</v>
      </c>
      <c r="CU41">
        <v>1714</v>
      </c>
      <c r="CV41">
        <v>1589</v>
      </c>
      <c r="CW41">
        <v>1614</v>
      </c>
      <c r="CX41">
        <v>1474</v>
      </c>
      <c r="CY41">
        <v>1577</v>
      </c>
      <c r="CZ41">
        <v>1547</v>
      </c>
      <c r="DA41">
        <v>1619</v>
      </c>
      <c r="DB41">
        <v>1624</v>
      </c>
      <c r="DC41">
        <v>1364</v>
      </c>
      <c r="DD41">
        <v>1451</v>
      </c>
      <c r="DE41">
        <v>1469</v>
      </c>
      <c r="DF41">
        <v>1454</v>
      </c>
      <c r="DG41">
        <v>1387</v>
      </c>
      <c r="DH41">
        <v>1442</v>
      </c>
      <c r="DI41">
        <v>1349</v>
      </c>
      <c r="DJ41">
        <v>1492</v>
      </c>
      <c r="DK41">
        <v>1445</v>
      </c>
      <c r="DL41">
        <v>1478</v>
      </c>
      <c r="DM41">
        <v>1390</v>
      </c>
      <c r="DN41">
        <v>1447</v>
      </c>
      <c r="DO41">
        <v>1255</v>
      </c>
      <c r="DP41">
        <v>1166</v>
      </c>
      <c r="DQ41">
        <v>996</v>
      </c>
      <c r="DR41">
        <v>1032</v>
      </c>
      <c r="DS41">
        <v>949</v>
      </c>
    </row>
    <row r="42" spans="1:123" x14ac:dyDescent="0.35">
      <c r="A42" t="s">
        <v>18</v>
      </c>
      <c r="B42">
        <v>1156</v>
      </c>
      <c r="C42">
        <v>1230</v>
      </c>
      <c r="D42">
        <v>1237</v>
      </c>
      <c r="E42">
        <v>1223</v>
      </c>
      <c r="F42" s="2">
        <f t="shared" si="8"/>
        <v>1227.5</v>
      </c>
      <c r="G42">
        <v>1232</v>
      </c>
      <c r="H42" s="2">
        <f t="shared" si="9"/>
        <v>1315</v>
      </c>
      <c r="I42">
        <v>1398</v>
      </c>
      <c r="J42">
        <v>1384</v>
      </c>
      <c r="K42" s="2">
        <f t="shared" si="10"/>
        <v>1391</v>
      </c>
      <c r="L42">
        <v>1398</v>
      </c>
      <c r="M42">
        <v>1407</v>
      </c>
      <c r="N42">
        <v>1514</v>
      </c>
      <c r="O42">
        <v>1590</v>
      </c>
      <c r="P42">
        <v>1564</v>
      </c>
      <c r="Q42">
        <v>1555</v>
      </c>
      <c r="R42">
        <v>1599</v>
      </c>
      <c r="S42">
        <v>1489</v>
      </c>
      <c r="T42">
        <v>1595</v>
      </c>
      <c r="U42">
        <v>1705</v>
      </c>
      <c r="V42">
        <v>1582</v>
      </c>
      <c r="W42">
        <v>1685</v>
      </c>
      <c r="X42">
        <v>1701</v>
      </c>
      <c r="Y42">
        <v>1704</v>
      </c>
      <c r="Z42">
        <v>1903</v>
      </c>
      <c r="AA42">
        <v>1831</v>
      </c>
      <c r="AB42">
        <v>1831</v>
      </c>
      <c r="AC42">
        <v>1838</v>
      </c>
      <c r="AD42">
        <v>1869</v>
      </c>
      <c r="AE42">
        <v>1934</v>
      </c>
      <c r="AF42">
        <v>1978</v>
      </c>
      <c r="AG42">
        <v>1961</v>
      </c>
      <c r="AH42">
        <v>1816</v>
      </c>
      <c r="AI42">
        <v>1954</v>
      </c>
      <c r="AJ42" s="7">
        <v>1894</v>
      </c>
      <c r="AK42">
        <v>1849</v>
      </c>
      <c r="AL42">
        <v>1800</v>
      </c>
      <c r="AM42">
        <v>1779</v>
      </c>
      <c r="AN42">
        <v>1818</v>
      </c>
      <c r="AO42">
        <v>1859</v>
      </c>
      <c r="AP42">
        <v>1771</v>
      </c>
      <c r="AQ42">
        <v>1822</v>
      </c>
      <c r="AR42">
        <v>1666</v>
      </c>
      <c r="AS42">
        <v>1754</v>
      </c>
      <c r="AT42">
        <v>1811</v>
      </c>
      <c r="AU42">
        <v>2021</v>
      </c>
      <c r="AV42">
        <v>1975</v>
      </c>
      <c r="AW42">
        <v>2110</v>
      </c>
      <c r="AX42">
        <v>2199</v>
      </c>
      <c r="AY42">
        <v>2068</v>
      </c>
      <c r="AZ42" s="3">
        <v>1880</v>
      </c>
      <c r="BA42" s="3">
        <v>1395</v>
      </c>
      <c r="BB42">
        <v>1382</v>
      </c>
      <c r="BC42" s="3">
        <v>1771</v>
      </c>
      <c r="BD42" s="3">
        <v>1783</v>
      </c>
      <c r="BE42" s="2">
        <f t="shared" ref="BE42:BS44" si="11">+($BT42/$BD42)^(1/($BT$25-$BD$25))*BD42</f>
        <v>1775.718681296989</v>
      </c>
      <c r="BF42" s="2">
        <f t="shared" si="11"/>
        <v>1768.4670976484115</v>
      </c>
      <c r="BG42" s="2">
        <f t="shared" si="11"/>
        <v>1761.2451276238648</v>
      </c>
      <c r="BH42" s="2">
        <f t="shared" si="11"/>
        <v>1754.0526502888372</v>
      </c>
      <c r="BI42" s="2">
        <f t="shared" si="11"/>
        <v>1746.8895452026825</v>
      </c>
      <c r="BJ42" s="2">
        <f t="shared" si="11"/>
        <v>1739.7556924166036</v>
      </c>
      <c r="BK42" s="2">
        <f t="shared" si="11"/>
        <v>1732.6509724716441</v>
      </c>
      <c r="BL42" s="2">
        <f t="shared" si="11"/>
        <v>1725.5752663966873</v>
      </c>
      <c r="BM42" s="2">
        <f t="shared" si="11"/>
        <v>1718.5284557064645</v>
      </c>
      <c r="BN42" s="2">
        <f t="shared" si="11"/>
        <v>1711.5104223995704</v>
      </c>
      <c r="BO42" s="2">
        <f t="shared" si="11"/>
        <v>1704.5210489564879</v>
      </c>
      <c r="BP42" s="2">
        <f t="shared" si="11"/>
        <v>1697.5602183376193</v>
      </c>
      <c r="BQ42" s="2">
        <f t="shared" si="11"/>
        <v>1690.6278139813271</v>
      </c>
      <c r="BR42" s="2">
        <f t="shared" si="11"/>
        <v>1683.7237198019818</v>
      </c>
      <c r="BS42" s="2">
        <f t="shared" si="11"/>
        <v>1676.8478201880182</v>
      </c>
      <c r="BT42">
        <v>1670</v>
      </c>
      <c r="BU42">
        <v>1740</v>
      </c>
      <c r="BV42">
        <v>1790</v>
      </c>
      <c r="BW42">
        <v>1720</v>
      </c>
      <c r="BX42">
        <v>1670</v>
      </c>
      <c r="BY42">
        <v>1790</v>
      </c>
      <c r="BZ42">
        <v>1830</v>
      </c>
      <c r="CA42">
        <v>1821</v>
      </c>
      <c r="CB42">
        <v>1825</v>
      </c>
      <c r="CC42">
        <v>1876</v>
      </c>
      <c r="CD42">
        <v>1770</v>
      </c>
      <c r="CE42">
        <v>1644</v>
      </c>
      <c r="CF42">
        <v>1728</v>
      </c>
      <c r="CG42">
        <v>1752</v>
      </c>
      <c r="CH42">
        <v>1704</v>
      </c>
      <c r="CI42">
        <v>1782</v>
      </c>
      <c r="CJ42">
        <v>1578</v>
      </c>
      <c r="CK42">
        <v>1512</v>
      </c>
      <c r="CL42">
        <v>1582</v>
      </c>
      <c r="CM42">
        <v>1598</v>
      </c>
      <c r="CN42">
        <v>1638</v>
      </c>
      <c r="CO42">
        <v>1524</v>
      </c>
      <c r="CP42">
        <v>1541</v>
      </c>
      <c r="CQ42">
        <v>1595</v>
      </c>
      <c r="CR42">
        <v>1523</v>
      </c>
      <c r="CS42">
        <v>1537</v>
      </c>
      <c r="CT42">
        <v>1710</v>
      </c>
      <c r="CU42">
        <v>1548</v>
      </c>
      <c r="CV42">
        <v>1541</v>
      </c>
      <c r="CW42">
        <v>1597</v>
      </c>
      <c r="CX42">
        <v>1503</v>
      </c>
      <c r="CY42">
        <v>1456</v>
      </c>
      <c r="CZ42">
        <v>1489</v>
      </c>
      <c r="DA42">
        <v>1405</v>
      </c>
      <c r="DB42">
        <v>1476</v>
      </c>
      <c r="DC42">
        <v>1334</v>
      </c>
      <c r="DD42">
        <v>1226</v>
      </c>
      <c r="DE42">
        <v>1312</v>
      </c>
      <c r="DF42">
        <v>1299</v>
      </c>
      <c r="DG42">
        <v>1230</v>
      </c>
      <c r="DH42">
        <v>1138</v>
      </c>
      <c r="DI42">
        <v>1111</v>
      </c>
      <c r="DJ42">
        <v>1131</v>
      </c>
      <c r="DK42">
        <v>1158</v>
      </c>
      <c r="DL42">
        <v>1130</v>
      </c>
      <c r="DM42">
        <v>1149</v>
      </c>
      <c r="DN42">
        <v>1156</v>
      </c>
      <c r="DO42">
        <v>1102</v>
      </c>
      <c r="DP42">
        <v>929</v>
      </c>
      <c r="DQ42">
        <v>967</v>
      </c>
      <c r="DR42">
        <v>844</v>
      </c>
      <c r="DS42">
        <v>840</v>
      </c>
    </row>
    <row r="43" spans="1:123" x14ac:dyDescent="0.35">
      <c r="A43" t="s">
        <v>19</v>
      </c>
      <c r="B43">
        <v>1296</v>
      </c>
      <c r="C43">
        <v>1444</v>
      </c>
      <c r="D43">
        <v>1421</v>
      </c>
      <c r="E43">
        <v>1461</v>
      </c>
      <c r="F43" s="2">
        <f t="shared" si="8"/>
        <v>1797</v>
      </c>
      <c r="G43">
        <v>2133</v>
      </c>
      <c r="H43" s="2">
        <f t="shared" si="9"/>
        <v>1829</v>
      </c>
      <c r="I43">
        <v>1525</v>
      </c>
      <c r="J43">
        <v>1658</v>
      </c>
      <c r="K43" s="2">
        <f t="shared" si="10"/>
        <v>1587.5</v>
      </c>
      <c r="L43">
        <v>1517</v>
      </c>
      <c r="M43">
        <v>1681</v>
      </c>
      <c r="N43">
        <v>1690</v>
      </c>
      <c r="O43">
        <v>2050</v>
      </c>
      <c r="P43">
        <v>1736</v>
      </c>
      <c r="Q43">
        <v>1783</v>
      </c>
      <c r="R43">
        <v>1670</v>
      </c>
      <c r="S43">
        <v>1808</v>
      </c>
      <c r="T43">
        <v>2088</v>
      </c>
      <c r="U43">
        <v>1893</v>
      </c>
      <c r="V43">
        <v>1899</v>
      </c>
      <c r="W43">
        <v>1882</v>
      </c>
      <c r="X43">
        <v>1830</v>
      </c>
      <c r="Y43">
        <v>1730</v>
      </c>
      <c r="Z43">
        <v>1956</v>
      </c>
      <c r="AA43">
        <v>1938</v>
      </c>
      <c r="AB43">
        <v>2041</v>
      </c>
      <c r="AC43">
        <v>1857</v>
      </c>
      <c r="AD43">
        <v>2043</v>
      </c>
      <c r="AE43">
        <v>2066</v>
      </c>
      <c r="AF43">
        <v>2222</v>
      </c>
      <c r="AG43">
        <v>2105</v>
      </c>
      <c r="AH43">
        <v>2100</v>
      </c>
      <c r="AI43">
        <v>1825</v>
      </c>
      <c r="AJ43" s="7">
        <v>1094</v>
      </c>
      <c r="AK43">
        <v>1914</v>
      </c>
      <c r="AL43">
        <v>1904</v>
      </c>
      <c r="AM43">
        <v>2083</v>
      </c>
      <c r="AN43">
        <v>1934</v>
      </c>
      <c r="AO43">
        <v>2128</v>
      </c>
      <c r="AP43">
        <v>2128</v>
      </c>
      <c r="AQ43">
        <v>2228</v>
      </c>
      <c r="AR43">
        <v>2082</v>
      </c>
      <c r="AS43">
        <v>1928</v>
      </c>
      <c r="AT43">
        <v>2454</v>
      </c>
      <c r="AU43">
        <v>2598</v>
      </c>
      <c r="AV43">
        <v>2751</v>
      </c>
      <c r="AW43">
        <v>2494</v>
      </c>
      <c r="AX43">
        <v>2853</v>
      </c>
      <c r="AY43">
        <v>3645</v>
      </c>
      <c r="AZ43" s="3">
        <v>1981</v>
      </c>
      <c r="BA43" s="3">
        <v>1578</v>
      </c>
      <c r="BB43">
        <v>1664</v>
      </c>
      <c r="BC43" s="3">
        <v>1684</v>
      </c>
      <c r="BD43" s="3">
        <v>1799</v>
      </c>
      <c r="BE43" s="2">
        <f t="shared" si="11"/>
        <v>1821.7682681221727</v>
      </c>
      <c r="BF43" s="2">
        <f t="shared" si="11"/>
        <v>1844.8246930165983</v>
      </c>
      <c r="BG43" s="2">
        <f t="shared" si="11"/>
        <v>1868.172921615268</v>
      </c>
      <c r="BH43" s="2">
        <f t="shared" si="11"/>
        <v>1891.8166470059957</v>
      </c>
      <c r="BI43" s="2">
        <f t="shared" si="11"/>
        <v>1915.7596090165694</v>
      </c>
      <c r="BJ43" s="2">
        <f t="shared" si="11"/>
        <v>1940.0055948062959</v>
      </c>
      <c r="BK43" s="2">
        <f t="shared" si="11"/>
        <v>1964.5584394650311</v>
      </c>
      <c r="BL43" s="2">
        <f t="shared" si="11"/>
        <v>1989.4220266197931</v>
      </c>
      <c r="BM43" s="2">
        <f t="shared" si="11"/>
        <v>2014.6002890490513</v>
      </c>
      <c r="BN43" s="2">
        <f t="shared" si="11"/>
        <v>2040.0972093047908</v>
      </c>
      <c r="BO43" s="2">
        <f t="shared" si="11"/>
        <v>2065.9168203424492</v>
      </c>
      <c r="BP43" s="2">
        <f t="shared" si="11"/>
        <v>2092.0632061588267</v>
      </c>
      <c r="BQ43" s="2">
        <f t="shared" si="11"/>
        <v>2118.5405024380689</v>
      </c>
      <c r="BR43" s="2">
        <f t="shared" si="11"/>
        <v>2145.3528972058243</v>
      </c>
      <c r="BS43" s="2">
        <f t="shared" si="11"/>
        <v>2172.5046314916844</v>
      </c>
      <c r="BT43">
        <v>2200</v>
      </c>
      <c r="BU43">
        <v>2090</v>
      </c>
      <c r="BV43">
        <v>2070</v>
      </c>
      <c r="BW43">
        <v>2100</v>
      </c>
      <c r="BX43">
        <v>2040</v>
      </c>
      <c r="BY43">
        <v>2150</v>
      </c>
      <c r="BZ43">
        <v>2130</v>
      </c>
      <c r="CA43">
        <v>1892</v>
      </c>
      <c r="CB43">
        <v>1903</v>
      </c>
      <c r="CC43">
        <v>1939</v>
      </c>
      <c r="CD43">
        <v>1788</v>
      </c>
      <c r="CE43">
        <v>1690</v>
      </c>
      <c r="CF43">
        <v>1662</v>
      </c>
      <c r="CG43">
        <v>1660</v>
      </c>
      <c r="CH43">
        <v>1866</v>
      </c>
      <c r="CI43">
        <v>2036</v>
      </c>
      <c r="CJ43">
        <v>1830</v>
      </c>
      <c r="CK43">
        <v>1790</v>
      </c>
      <c r="CL43">
        <v>1750</v>
      </c>
      <c r="CM43">
        <v>1862</v>
      </c>
      <c r="CN43">
        <v>1896</v>
      </c>
      <c r="CO43">
        <v>1803</v>
      </c>
      <c r="CP43">
        <v>1688</v>
      </c>
      <c r="CQ43">
        <v>1851</v>
      </c>
      <c r="CR43">
        <v>2010</v>
      </c>
      <c r="CS43">
        <v>2025</v>
      </c>
      <c r="CT43">
        <v>1873</v>
      </c>
      <c r="CU43">
        <v>1893</v>
      </c>
      <c r="CV43">
        <v>1835</v>
      </c>
      <c r="CW43">
        <v>1779</v>
      </c>
      <c r="CX43">
        <v>1641</v>
      </c>
      <c r="CY43">
        <v>1727</v>
      </c>
      <c r="CZ43">
        <v>1640</v>
      </c>
      <c r="DA43">
        <v>1569</v>
      </c>
      <c r="DB43">
        <v>1651</v>
      </c>
      <c r="DC43">
        <v>1361</v>
      </c>
      <c r="DD43">
        <v>1316</v>
      </c>
      <c r="DE43">
        <v>1419</v>
      </c>
      <c r="DF43">
        <v>1397</v>
      </c>
      <c r="DG43">
        <v>1361</v>
      </c>
      <c r="DH43">
        <v>1289</v>
      </c>
      <c r="DI43">
        <v>1263</v>
      </c>
      <c r="DJ43">
        <v>1342</v>
      </c>
      <c r="DK43">
        <v>1306</v>
      </c>
      <c r="DL43">
        <v>1287</v>
      </c>
      <c r="DM43">
        <v>1386</v>
      </c>
      <c r="DN43">
        <v>1367</v>
      </c>
      <c r="DO43">
        <v>1231</v>
      </c>
      <c r="DP43">
        <v>1148</v>
      </c>
      <c r="DQ43">
        <v>1097</v>
      </c>
      <c r="DR43">
        <v>1087</v>
      </c>
      <c r="DS43">
        <v>1061</v>
      </c>
    </row>
    <row r="44" spans="1:123" x14ac:dyDescent="0.35">
      <c r="A44" t="s">
        <v>20</v>
      </c>
      <c r="B44">
        <v>878</v>
      </c>
      <c r="C44">
        <v>980</v>
      </c>
      <c r="D44">
        <v>883</v>
      </c>
      <c r="E44">
        <v>1158</v>
      </c>
      <c r="F44" s="2">
        <f t="shared" si="8"/>
        <v>1135</v>
      </c>
      <c r="G44">
        <v>1112</v>
      </c>
      <c r="H44" s="2">
        <f t="shared" si="9"/>
        <v>1070</v>
      </c>
      <c r="I44">
        <v>1028</v>
      </c>
      <c r="J44">
        <v>1074</v>
      </c>
      <c r="K44" s="2">
        <f t="shared" si="10"/>
        <v>1044.5</v>
      </c>
      <c r="L44">
        <v>1015</v>
      </c>
      <c r="M44">
        <v>1207</v>
      </c>
      <c r="N44">
        <v>1430</v>
      </c>
      <c r="O44">
        <v>1322</v>
      </c>
      <c r="P44">
        <v>1224</v>
      </c>
      <c r="Q44">
        <v>1295</v>
      </c>
      <c r="R44">
        <v>1197</v>
      </c>
      <c r="S44">
        <v>1243</v>
      </c>
      <c r="T44">
        <v>1386</v>
      </c>
      <c r="U44">
        <v>1406</v>
      </c>
      <c r="V44">
        <v>1301</v>
      </c>
      <c r="W44">
        <v>1275</v>
      </c>
      <c r="X44">
        <v>1271</v>
      </c>
      <c r="Y44">
        <v>1327</v>
      </c>
      <c r="Z44">
        <v>1326</v>
      </c>
      <c r="AA44">
        <v>1323</v>
      </c>
      <c r="AB44">
        <v>1285</v>
      </c>
      <c r="AC44">
        <v>1208</v>
      </c>
      <c r="AD44">
        <v>1252</v>
      </c>
      <c r="AE44">
        <v>1201</v>
      </c>
      <c r="AF44">
        <v>1320</v>
      </c>
      <c r="AG44">
        <v>1198</v>
      </c>
      <c r="AH44">
        <v>1177</v>
      </c>
      <c r="AI44">
        <v>1097</v>
      </c>
      <c r="AJ44" s="7">
        <v>1175</v>
      </c>
      <c r="AK44">
        <v>1292</v>
      </c>
      <c r="AL44">
        <v>1225</v>
      </c>
      <c r="AM44">
        <v>1411</v>
      </c>
      <c r="AN44">
        <v>1359</v>
      </c>
      <c r="AO44">
        <v>1423</v>
      </c>
      <c r="AP44">
        <v>1277</v>
      </c>
      <c r="AQ44">
        <v>1607</v>
      </c>
      <c r="AR44">
        <v>1209</v>
      </c>
      <c r="AS44">
        <v>1296</v>
      </c>
      <c r="AT44">
        <v>1453</v>
      </c>
      <c r="AU44">
        <v>1506</v>
      </c>
      <c r="AV44">
        <v>1434</v>
      </c>
      <c r="AW44">
        <v>1370</v>
      </c>
      <c r="AX44">
        <v>1329</v>
      </c>
      <c r="AY44">
        <v>1747</v>
      </c>
      <c r="AZ44" s="3">
        <v>900</v>
      </c>
      <c r="BA44" s="3">
        <v>712</v>
      </c>
      <c r="BB44">
        <v>664</v>
      </c>
      <c r="BC44" s="3">
        <v>682</v>
      </c>
      <c r="BD44" s="3">
        <v>692</v>
      </c>
      <c r="BE44" s="2">
        <f t="shared" si="11"/>
        <v>706.76119591788051</v>
      </c>
      <c r="BF44" s="2">
        <f t="shared" si="11"/>
        <v>721.83726597582756</v>
      </c>
      <c r="BG44" s="2">
        <f t="shared" si="11"/>
        <v>737.23492681960852</v>
      </c>
      <c r="BH44" s="2">
        <f t="shared" si="11"/>
        <v>752.96103836915836</v>
      </c>
      <c r="BI44" s="2">
        <f t="shared" si="11"/>
        <v>769.02260687479111</v>
      </c>
      <c r="BJ44" s="2">
        <f t="shared" si="11"/>
        <v>785.42678803860315</v>
      </c>
      <c r="BK44" s="2">
        <f t="shared" si="11"/>
        <v>802.18089020246066</v>
      </c>
      <c r="BL44" s="2">
        <f t="shared" si="11"/>
        <v>819.29237760398996</v>
      </c>
      <c r="BM44" s="2">
        <f t="shared" si="11"/>
        <v>836.76887370202257</v>
      </c>
      <c r="BN44" s="2">
        <f t="shared" si="11"/>
        <v>854.61816457297596</v>
      </c>
      <c r="BO44" s="2">
        <f t="shared" si="11"/>
        <v>872.84820237968279</v>
      </c>
      <c r="BP44" s="2">
        <f t="shared" si="11"/>
        <v>891.46710891421503</v>
      </c>
      <c r="BQ44" s="2">
        <f t="shared" si="11"/>
        <v>910.4831792162804</v>
      </c>
      <c r="BR44" s="2">
        <f t="shared" si="11"/>
        <v>929.90488526880381</v>
      </c>
      <c r="BS44" s="2">
        <f t="shared" si="11"/>
        <v>949.74087977233989</v>
      </c>
      <c r="BT44">
        <v>970</v>
      </c>
      <c r="BU44">
        <v>1020</v>
      </c>
      <c r="BV44">
        <v>930</v>
      </c>
      <c r="BW44">
        <v>1020</v>
      </c>
      <c r="BX44">
        <v>970</v>
      </c>
      <c r="BY44">
        <v>1100</v>
      </c>
      <c r="BZ44">
        <v>1020</v>
      </c>
      <c r="CA44">
        <v>1013</v>
      </c>
      <c r="CB44">
        <v>1050</v>
      </c>
      <c r="CC44">
        <v>893</v>
      </c>
      <c r="CD44">
        <v>916</v>
      </c>
      <c r="CE44">
        <v>900</v>
      </c>
      <c r="CF44">
        <v>834</v>
      </c>
      <c r="CG44">
        <v>958</v>
      </c>
      <c r="CH44">
        <v>840</v>
      </c>
      <c r="CI44">
        <v>912</v>
      </c>
      <c r="CJ44">
        <v>880</v>
      </c>
      <c r="CK44">
        <v>832</v>
      </c>
      <c r="CL44">
        <v>856</v>
      </c>
      <c r="CM44">
        <v>904</v>
      </c>
      <c r="CN44">
        <v>875</v>
      </c>
      <c r="CO44">
        <v>1021</v>
      </c>
      <c r="CP44">
        <v>917</v>
      </c>
      <c r="CQ44">
        <v>1005</v>
      </c>
      <c r="CR44">
        <v>974</v>
      </c>
      <c r="CS44">
        <v>978</v>
      </c>
      <c r="CT44">
        <v>959</v>
      </c>
      <c r="CU44">
        <v>991</v>
      </c>
      <c r="CV44">
        <v>899</v>
      </c>
      <c r="CW44">
        <v>866</v>
      </c>
      <c r="CX44">
        <v>851</v>
      </c>
      <c r="CY44">
        <v>778</v>
      </c>
      <c r="CZ44">
        <v>783</v>
      </c>
      <c r="DA44">
        <v>724</v>
      </c>
      <c r="DB44">
        <v>727</v>
      </c>
      <c r="DC44">
        <v>674</v>
      </c>
      <c r="DD44">
        <v>601</v>
      </c>
      <c r="DE44">
        <v>641</v>
      </c>
      <c r="DF44">
        <v>649</v>
      </c>
      <c r="DG44">
        <v>677</v>
      </c>
      <c r="DH44">
        <v>666</v>
      </c>
      <c r="DI44">
        <v>689</v>
      </c>
      <c r="DJ44">
        <v>696</v>
      </c>
      <c r="DK44">
        <v>656</v>
      </c>
      <c r="DL44">
        <v>630</v>
      </c>
      <c r="DM44">
        <v>634</v>
      </c>
      <c r="DN44">
        <v>610</v>
      </c>
      <c r="DO44">
        <v>571</v>
      </c>
      <c r="DP44">
        <v>566</v>
      </c>
      <c r="DQ44">
        <v>497</v>
      </c>
      <c r="DR44">
        <v>521</v>
      </c>
      <c r="DS44">
        <v>490</v>
      </c>
    </row>
    <row r="45" spans="1:123" x14ac:dyDescent="0.35">
      <c r="A45" t="s">
        <v>29</v>
      </c>
      <c r="B45">
        <f>+SUM(B26:B44)</f>
        <v>30589</v>
      </c>
      <c r="C45">
        <f t="shared" ref="C45:BN45" si="12">+SUM(C26:C44)</f>
        <v>31703</v>
      </c>
      <c r="D45">
        <f t="shared" si="12"/>
        <v>31526</v>
      </c>
      <c r="E45">
        <f t="shared" si="12"/>
        <v>32600</v>
      </c>
      <c r="F45">
        <f t="shared" si="12"/>
        <v>33154.5</v>
      </c>
      <c r="G45">
        <f t="shared" si="12"/>
        <v>33709</v>
      </c>
      <c r="H45">
        <f t="shared" si="12"/>
        <v>33683</v>
      </c>
      <c r="I45">
        <f t="shared" si="12"/>
        <v>33657</v>
      </c>
      <c r="J45">
        <f t="shared" si="12"/>
        <v>35520</v>
      </c>
      <c r="K45">
        <f t="shared" si="12"/>
        <v>35723.5</v>
      </c>
      <c r="L45">
        <f t="shared" si="12"/>
        <v>35927</v>
      </c>
      <c r="M45">
        <f t="shared" si="12"/>
        <v>37580</v>
      </c>
      <c r="N45">
        <f t="shared" si="12"/>
        <v>39171</v>
      </c>
      <c r="O45">
        <f t="shared" si="12"/>
        <v>40315</v>
      </c>
      <c r="P45">
        <f t="shared" si="12"/>
        <v>38571</v>
      </c>
      <c r="Q45">
        <f t="shared" si="12"/>
        <v>37546</v>
      </c>
      <c r="R45">
        <f t="shared" si="12"/>
        <v>36983</v>
      </c>
      <c r="S45">
        <f t="shared" si="12"/>
        <v>36752</v>
      </c>
      <c r="T45">
        <f t="shared" si="12"/>
        <v>38914</v>
      </c>
      <c r="U45">
        <f t="shared" si="12"/>
        <v>39357</v>
      </c>
      <c r="V45">
        <f t="shared" si="12"/>
        <v>39335</v>
      </c>
      <c r="W45">
        <f t="shared" si="12"/>
        <v>39611</v>
      </c>
      <c r="X45">
        <f t="shared" si="12"/>
        <v>40261</v>
      </c>
      <c r="Y45">
        <f t="shared" si="12"/>
        <v>40231</v>
      </c>
      <c r="Z45">
        <f t="shared" si="12"/>
        <v>41880</v>
      </c>
      <c r="AA45">
        <f t="shared" si="12"/>
        <v>42167</v>
      </c>
      <c r="AB45">
        <f t="shared" si="12"/>
        <v>43091</v>
      </c>
      <c r="AC45">
        <f t="shared" si="12"/>
        <v>42845</v>
      </c>
      <c r="AD45">
        <f t="shared" si="12"/>
        <v>44632</v>
      </c>
      <c r="AE45">
        <f t="shared" si="12"/>
        <v>44236</v>
      </c>
      <c r="AF45">
        <f t="shared" si="12"/>
        <v>45727</v>
      </c>
      <c r="AG45">
        <f t="shared" si="12"/>
        <v>44854</v>
      </c>
      <c r="AH45">
        <f t="shared" si="12"/>
        <v>44041</v>
      </c>
      <c r="AI45">
        <f t="shared" si="12"/>
        <v>41610</v>
      </c>
      <c r="AJ45">
        <f t="shared" si="12"/>
        <v>40507</v>
      </c>
      <c r="AK45">
        <f t="shared" si="12"/>
        <v>41436</v>
      </c>
      <c r="AL45">
        <f t="shared" si="12"/>
        <v>40755</v>
      </c>
      <c r="AM45">
        <f t="shared" si="12"/>
        <v>41337</v>
      </c>
      <c r="AN45">
        <f t="shared" si="12"/>
        <v>41701</v>
      </c>
      <c r="AO45">
        <f t="shared" si="12"/>
        <v>42862</v>
      </c>
      <c r="AP45">
        <f t="shared" si="12"/>
        <v>42893</v>
      </c>
      <c r="AQ45">
        <f t="shared" si="12"/>
        <v>44287</v>
      </c>
      <c r="AR45">
        <f t="shared" si="12"/>
        <v>42670</v>
      </c>
      <c r="AS45">
        <f t="shared" si="12"/>
        <v>43470</v>
      </c>
      <c r="AT45">
        <f t="shared" si="12"/>
        <v>46443</v>
      </c>
      <c r="AU45">
        <f t="shared" si="12"/>
        <v>49007</v>
      </c>
      <c r="AV45">
        <f t="shared" si="12"/>
        <v>48965</v>
      </c>
      <c r="AW45">
        <f t="shared" si="12"/>
        <v>46959</v>
      </c>
      <c r="AX45">
        <f t="shared" si="12"/>
        <v>48999</v>
      </c>
      <c r="AY45">
        <f t="shared" si="12"/>
        <v>56552</v>
      </c>
      <c r="AZ45">
        <f t="shared" si="12"/>
        <v>44748</v>
      </c>
      <c r="BA45">
        <f t="shared" si="12"/>
        <v>34427</v>
      </c>
      <c r="BB45">
        <f t="shared" si="12"/>
        <v>35871</v>
      </c>
      <c r="BC45">
        <f t="shared" si="12"/>
        <v>36754</v>
      </c>
      <c r="BD45">
        <f t="shared" si="12"/>
        <v>39460</v>
      </c>
      <c r="BE45">
        <f t="shared" si="12"/>
        <v>40201.044464079168</v>
      </c>
      <c r="BF45">
        <f t="shared" si="12"/>
        <v>40963.069925279728</v>
      </c>
      <c r="BG45">
        <f t="shared" si="12"/>
        <v>41746.760352549129</v>
      </c>
      <c r="BH45">
        <f t="shared" si="12"/>
        <v>42552.825604004705</v>
      </c>
      <c r="BI45">
        <f t="shared" si="12"/>
        <v>43382.002518028872</v>
      </c>
      <c r="BJ45">
        <f t="shared" si="12"/>
        <v>44235.056053786691</v>
      </c>
      <c r="BK45">
        <f t="shared" si="12"/>
        <v>45112.780483502014</v>
      </c>
      <c r="BL45">
        <f t="shared" si="12"/>
        <v>46016.000638941616</v>
      </c>
      <c r="BM45">
        <f t="shared" si="12"/>
        <v>46945.5732146749</v>
      </c>
      <c r="BN45">
        <f t="shared" si="12"/>
        <v>47902.388130801628</v>
      </c>
      <c r="BO45">
        <f t="shared" ref="BO45:DS45" si="13">+SUM(BO26:BO44)</f>
        <v>48887.369957970375</v>
      </c>
      <c r="BP45">
        <f t="shared" si="13"/>
        <v>49901.479407647494</v>
      </c>
      <c r="BQ45">
        <f t="shared" si="13"/>
        <v>50945.714890740106</v>
      </c>
      <c r="BR45">
        <f t="shared" si="13"/>
        <v>52021.114147826927</v>
      </c>
      <c r="BS45">
        <f t="shared" si="13"/>
        <v>53128.755954409542</v>
      </c>
      <c r="BT45">
        <f t="shared" si="13"/>
        <v>54269.761904761908</v>
      </c>
      <c r="BU45">
        <f t="shared" si="13"/>
        <v>55199.285714285717</v>
      </c>
      <c r="BV45">
        <f t="shared" si="13"/>
        <v>55840.476190476191</v>
      </c>
      <c r="BW45">
        <f t="shared" si="13"/>
        <v>55996.666666666672</v>
      </c>
      <c r="BX45">
        <f t="shared" si="13"/>
        <v>57457.142857142855</v>
      </c>
      <c r="BY45">
        <f t="shared" si="13"/>
        <v>58453.809523809527</v>
      </c>
      <c r="BZ45">
        <f t="shared" si="13"/>
        <v>58419.761904761908</v>
      </c>
      <c r="CA45">
        <f t="shared" si="13"/>
        <v>56723.571428571428</v>
      </c>
      <c r="CB45">
        <f t="shared" si="13"/>
        <v>56055.857142857145</v>
      </c>
      <c r="CC45">
        <f t="shared" si="13"/>
        <v>54546.380952380954</v>
      </c>
      <c r="CD45">
        <f t="shared" si="13"/>
        <v>52896.523809523816</v>
      </c>
      <c r="CE45">
        <f t="shared" si="13"/>
        <v>53162.714285714283</v>
      </c>
      <c r="CF45">
        <f t="shared" si="13"/>
        <v>52736.809523809527</v>
      </c>
      <c r="CG45">
        <f t="shared" si="13"/>
        <v>52657.404761904763</v>
      </c>
      <c r="CH45">
        <f t="shared" si="13"/>
        <v>53268</v>
      </c>
      <c r="CI45">
        <f t="shared" si="13"/>
        <v>53724</v>
      </c>
      <c r="CJ45">
        <f t="shared" si="13"/>
        <v>54026</v>
      </c>
      <c r="CK45">
        <f t="shared" si="13"/>
        <v>53288</v>
      </c>
      <c r="CL45">
        <f t="shared" si="13"/>
        <v>55755</v>
      </c>
      <c r="CM45">
        <f t="shared" si="13"/>
        <v>55286</v>
      </c>
      <c r="CN45">
        <f t="shared" si="13"/>
        <v>56459</v>
      </c>
      <c r="CO45">
        <f t="shared" si="13"/>
        <v>54732</v>
      </c>
      <c r="CP45">
        <f t="shared" si="13"/>
        <v>54164</v>
      </c>
      <c r="CQ45">
        <f t="shared" si="13"/>
        <v>55892</v>
      </c>
      <c r="CR45">
        <f t="shared" si="13"/>
        <v>55968</v>
      </c>
      <c r="CS45">
        <f t="shared" si="13"/>
        <v>56664</v>
      </c>
      <c r="CT45">
        <f>+SUM(CS26:CS44)</f>
        <v>56664</v>
      </c>
      <c r="CU45">
        <f t="shared" si="13"/>
        <v>56297</v>
      </c>
      <c r="CV45">
        <f t="shared" si="13"/>
        <v>54737</v>
      </c>
      <c r="CW45">
        <f t="shared" si="13"/>
        <v>53968</v>
      </c>
      <c r="CX45">
        <f t="shared" si="13"/>
        <v>52752</v>
      </c>
      <c r="CY45">
        <f t="shared" si="13"/>
        <v>51945</v>
      </c>
      <c r="CZ45">
        <f t="shared" si="13"/>
        <v>51980</v>
      </c>
      <c r="DA45">
        <f t="shared" si="13"/>
        <v>50543</v>
      </c>
      <c r="DB45">
        <f t="shared" si="13"/>
        <v>49975</v>
      </c>
      <c r="DC45">
        <f t="shared" si="13"/>
        <v>47091</v>
      </c>
      <c r="DD45">
        <f t="shared" si="13"/>
        <v>47196</v>
      </c>
      <c r="DE45">
        <f t="shared" si="13"/>
        <v>47335</v>
      </c>
      <c r="DF45">
        <f t="shared" si="13"/>
        <v>47203</v>
      </c>
      <c r="DG45">
        <f t="shared" si="13"/>
        <v>46922</v>
      </c>
      <c r="DH45">
        <f t="shared" si="13"/>
        <v>47209</v>
      </c>
      <c r="DI45">
        <f t="shared" si="13"/>
        <v>46549</v>
      </c>
      <c r="DJ45">
        <f t="shared" si="13"/>
        <v>47907</v>
      </c>
      <c r="DK45">
        <f t="shared" si="13"/>
        <v>48507</v>
      </c>
      <c r="DL45">
        <f t="shared" si="13"/>
        <v>48260</v>
      </c>
      <c r="DM45">
        <f t="shared" si="13"/>
        <v>48826</v>
      </c>
      <c r="DN45">
        <f t="shared" si="13"/>
        <v>46929</v>
      </c>
      <c r="DO45">
        <f t="shared" si="13"/>
        <v>42951</v>
      </c>
      <c r="DP45">
        <f t="shared" si="13"/>
        <v>40061</v>
      </c>
      <c r="DQ45">
        <f t="shared" si="13"/>
        <v>37390</v>
      </c>
      <c r="DR45">
        <f t="shared" si="13"/>
        <v>35777</v>
      </c>
      <c r="DS45">
        <f t="shared" si="13"/>
        <v>34518</v>
      </c>
    </row>
    <row r="46" spans="1:123" x14ac:dyDescent="0.35">
      <c r="AD46">
        <f t="shared" ref="AD46:AN46" si="14">+SUM(AD26:AD44)</f>
        <v>44632</v>
      </c>
      <c r="AE46">
        <f t="shared" si="14"/>
        <v>44236</v>
      </c>
      <c r="AF46">
        <f t="shared" si="14"/>
        <v>45727</v>
      </c>
      <c r="AG46">
        <f t="shared" si="14"/>
        <v>44854</v>
      </c>
      <c r="AH46" s="2">
        <f t="shared" si="14"/>
        <v>44041</v>
      </c>
      <c r="AI46" s="4">
        <f t="shared" si="14"/>
        <v>41610</v>
      </c>
      <c r="AJ46" s="7">
        <f t="shared" si="14"/>
        <v>40507</v>
      </c>
      <c r="AK46" s="7">
        <f t="shared" si="14"/>
        <v>41436</v>
      </c>
      <c r="AL46" s="4">
        <f t="shared" si="14"/>
        <v>40755</v>
      </c>
      <c r="AM46" s="4">
        <f t="shared" si="14"/>
        <v>41337</v>
      </c>
      <c r="AN46" s="4">
        <f t="shared" si="14"/>
        <v>41701</v>
      </c>
      <c r="AO46" s="4"/>
      <c r="AP46" s="4"/>
      <c r="AQ46" s="4"/>
      <c r="AR46" s="4"/>
      <c r="AS46" s="4" t="s">
        <v>33</v>
      </c>
      <c r="AT46" s="4" t="s">
        <v>33</v>
      </c>
      <c r="AU46" s="4" t="s">
        <v>34</v>
      </c>
      <c r="AV46" s="4" t="s">
        <v>34</v>
      </c>
      <c r="AW46" s="4" t="s">
        <v>34</v>
      </c>
      <c r="AX46" s="4" t="s">
        <v>34</v>
      </c>
      <c r="AY46" s="4" t="s">
        <v>34</v>
      </c>
      <c r="AZ46" s="4" t="s">
        <v>34</v>
      </c>
      <c r="BA46" s="4" t="s">
        <v>34</v>
      </c>
      <c r="BB46" s="4" t="s">
        <v>34</v>
      </c>
      <c r="BC46" s="4" t="s">
        <v>34</v>
      </c>
      <c r="BD46" s="4" t="s">
        <v>34</v>
      </c>
      <c r="BE46" s="2" t="s">
        <v>35</v>
      </c>
      <c r="BF46" s="2" t="s">
        <v>35</v>
      </c>
      <c r="BG46" s="2" t="s">
        <v>35</v>
      </c>
      <c r="BH46" s="2" t="s">
        <v>35</v>
      </c>
      <c r="BI46" s="2" t="s">
        <v>35</v>
      </c>
      <c r="BJ46" s="2" t="s">
        <v>35</v>
      </c>
      <c r="BK46" s="2" t="s">
        <v>35</v>
      </c>
      <c r="BL46" s="2" t="s">
        <v>35</v>
      </c>
      <c r="BM46" s="2" t="s">
        <v>35</v>
      </c>
      <c r="BN46" s="2" t="s">
        <v>35</v>
      </c>
      <c r="BO46" s="2" t="s">
        <v>35</v>
      </c>
      <c r="BP46" s="2" t="s">
        <v>35</v>
      </c>
      <c r="BQ46" s="2" t="s">
        <v>35</v>
      </c>
      <c r="BR46" s="2" t="s">
        <v>35</v>
      </c>
      <c r="BS46" s="2" t="s">
        <v>35</v>
      </c>
      <c r="BT46" s="4" t="s">
        <v>36</v>
      </c>
      <c r="BU46" s="4" t="s">
        <v>37</v>
      </c>
      <c r="BV46" s="4" t="s">
        <v>38</v>
      </c>
      <c r="BW46" s="4" t="s">
        <v>38</v>
      </c>
      <c r="BX46" s="4" t="s">
        <v>38</v>
      </c>
      <c r="BY46" s="4" t="s">
        <v>37</v>
      </c>
      <c r="BZ46" s="4" t="s">
        <v>38</v>
      </c>
      <c r="CA46" s="4" t="s">
        <v>37</v>
      </c>
      <c r="CB46" s="4" t="s">
        <v>37</v>
      </c>
      <c r="CC46" s="4" t="s">
        <v>37</v>
      </c>
      <c r="CD46" s="4" t="s">
        <v>37</v>
      </c>
      <c r="CE46" s="4" t="s">
        <v>37</v>
      </c>
      <c r="CF46" s="4" t="s">
        <v>37</v>
      </c>
      <c r="CG46" s="4" t="s">
        <v>37</v>
      </c>
      <c r="CH46" s="4" t="s">
        <v>39</v>
      </c>
      <c r="CI46" s="4" t="s">
        <v>39</v>
      </c>
      <c r="CJ46" s="4" t="s">
        <v>39</v>
      </c>
      <c r="CK46" s="4" t="s">
        <v>39</v>
      </c>
      <c r="CL46" s="4" t="s">
        <v>39</v>
      </c>
    </row>
    <row r="47" spans="1:123" x14ac:dyDescent="0.35">
      <c r="A47" t="s">
        <v>40</v>
      </c>
      <c r="B47">
        <f>+B23/B45</f>
        <v>0.10605119487397431</v>
      </c>
      <c r="C47">
        <f t="shared" ref="C47:BN47" si="15">+C23/C45</f>
        <v>0.10204081632653061</v>
      </c>
      <c r="D47">
        <f t="shared" si="15"/>
        <v>0.10524646323669352</v>
      </c>
      <c r="E47">
        <f t="shared" si="15"/>
        <v>0.10911042944785276</v>
      </c>
      <c r="F47">
        <f t="shared" si="15"/>
        <v>9.5447073549593572E-2</v>
      </c>
      <c r="G47">
        <f t="shared" si="15"/>
        <v>8.22332314812068E-2</v>
      </c>
      <c r="H47">
        <f t="shared" si="15"/>
        <v>9.550811982305614E-2</v>
      </c>
      <c r="I47">
        <f t="shared" si="15"/>
        <v>0.10880351784175654</v>
      </c>
      <c r="J47">
        <f t="shared" si="15"/>
        <v>0.10061936936936937</v>
      </c>
      <c r="K47">
        <f t="shared" si="15"/>
        <v>0.10570072921186334</v>
      </c>
      <c r="L47">
        <f t="shared" si="15"/>
        <v>0.11072452473070393</v>
      </c>
      <c r="M47">
        <f t="shared" si="15"/>
        <v>0.10920702501330495</v>
      </c>
      <c r="N47">
        <f t="shared" si="15"/>
        <v>0.11761251946593143</v>
      </c>
      <c r="O47">
        <f t="shared" si="15"/>
        <v>9.3315143246930424E-2</v>
      </c>
      <c r="P47">
        <f t="shared" si="15"/>
        <v>9.4475123797671826E-2</v>
      </c>
      <c r="Q47">
        <f t="shared" si="15"/>
        <v>0.11279497150162468</v>
      </c>
      <c r="R47">
        <f t="shared" si="15"/>
        <v>0.12394884135954358</v>
      </c>
      <c r="S47">
        <f t="shared" si="15"/>
        <v>0.10693295602960383</v>
      </c>
      <c r="T47">
        <f t="shared" si="15"/>
        <v>0.11011461170786864</v>
      </c>
      <c r="U47">
        <f t="shared" si="15"/>
        <v>0.10038874914246512</v>
      </c>
      <c r="V47">
        <f t="shared" si="15"/>
        <v>0.11730011440193212</v>
      </c>
      <c r="W47">
        <f t="shared" si="15"/>
        <v>0.10711671000479665</v>
      </c>
      <c r="X47">
        <f t="shared" si="15"/>
        <v>9.2446784729639103E-2</v>
      </c>
      <c r="Y47">
        <f t="shared" si="15"/>
        <v>0.10355198727349556</v>
      </c>
      <c r="Z47">
        <f t="shared" si="15"/>
        <v>0.10759312320916906</v>
      </c>
      <c r="AA47">
        <f t="shared" si="15"/>
        <v>0.11520857542628121</v>
      </c>
      <c r="AB47">
        <f t="shared" si="15"/>
        <v>9.340697593464993E-2</v>
      </c>
      <c r="AC47">
        <f t="shared" si="15"/>
        <v>0.1065235149959155</v>
      </c>
      <c r="AD47">
        <f t="shared" si="15"/>
        <v>9.9525004481089807E-2</v>
      </c>
      <c r="AE47">
        <f t="shared" si="15"/>
        <v>9.2729903246224793E-2</v>
      </c>
      <c r="AF47">
        <f t="shared" si="15"/>
        <v>9.9656657991995981E-2</v>
      </c>
      <c r="AG47">
        <f t="shared" si="15"/>
        <v>0.109287911891916</v>
      </c>
      <c r="AH47">
        <f t="shared" si="15"/>
        <v>9.8930541994959237E-2</v>
      </c>
      <c r="AI47">
        <f t="shared" si="15"/>
        <v>9.2814227349194908E-2</v>
      </c>
      <c r="AJ47">
        <f t="shared" si="15"/>
        <v>9.7686819562050997E-2</v>
      </c>
      <c r="AK47">
        <f t="shared" si="15"/>
        <v>0.10194034173182739</v>
      </c>
      <c r="AL47">
        <f t="shared" si="15"/>
        <v>9.1596123175070543E-2</v>
      </c>
      <c r="AM47">
        <f t="shared" si="15"/>
        <v>9.6233398650119747E-2</v>
      </c>
      <c r="AN47">
        <f t="shared" si="15"/>
        <v>9.8822570202153431E-2</v>
      </c>
      <c r="AO47">
        <f t="shared" si="15"/>
        <v>8.2170687322103489E-2</v>
      </c>
      <c r="AP47">
        <f t="shared" si="15"/>
        <v>8.6494299769193109E-2</v>
      </c>
      <c r="AQ47">
        <f t="shared" si="15"/>
        <v>8.2778241922008722E-2</v>
      </c>
      <c r="AR47">
        <f t="shared" si="15"/>
        <v>9.2664635575345683E-2</v>
      </c>
      <c r="AS47">
        <f t="shared" si="15"/>
        <v>7.7915804002760519E-2</v>
      </c>
      <c r="AT47">
        <f t="shared" si="15"/>
        <v>6.5714962427061124E-2</v>
      </c>
      <c r="AU47">
        <f t="shared" si="15"/>
        <v>5.511457546881058E-2</v>
      </c>
      <c r="AV47">
        <f t="shared" si="15"/>
        <v>5.0709690595323188E-2</v>
      </c>
      <c r="AW47">
        <f t="shared" si="15"/>
        <v>6.1031964053749013E-2</v>
      </c>
      <c r="AX47">
        <f t="shared" si="15"/>
        <v>5.4123553541909016E-2</v>
      </c>
      <c r="AY47">
        <f t="shared" si="15"/>
        <v>4.0882727401329748E-2</v>
      </c>
      <c r="AZ47">
        <f t="shared" si="15"/>
        <v>6.4248681505318678E-2</v>
      </c>
      <c r="BA47">
        <f t="shared" si="15"/>
        <v>7.2007436024050894E-2</v>
      </c>
      <c r="BC47">
        <f t="shared" si="15"/>
        <v>6.1190618708167818E-2</v>
      </c>
      <c r="BD47">
        <f t="shared" si="15"/>
        <v>5.5017739483020779E-2</v>
      </c>
      <c r="BE47">
        <f t="shared" si="15"/>
        <v>5.636669470179409E-2</v>
      </c>
      <c r="BF47">
        <f t="shared" si="15"/>
        <v>5.2339827164097956E-2</v>
      </c>
      <c r="BG47">
        <f t="shared" si="15"/>
        <v>6.3094716278724691E-2</v>
      </c>
      <c r="BH47">
        <f t="shared" si="15"/>
        <v>6.1171025967192837E-2</v>
      </c>
      <c r="BI47">
        <f t="shared" si="15"/>
        <v>6.8300212715367944E-2</v>
      </c>
      <c r="BJ47">
        <f t="shared" si="15"/>
        <v>6.0721071467254716E-2</v>
      </c>
      <c r="BK47">
        <f t="shared" si="15"/>
        <v>5.4530001778534468E-2</v>
      </c>
      <c r="BL47">
        <f t="shared" si="15"/>
        <v>5.526338588077892E-2</v>
      </c>
      <c r="BM47">
        <f t="shared" si="15"/>
        <v>5.4701643289281614E-2</v>
      </c>
      <c r="BN47">
        <f t="shared" si="15"/>
        <v>5.5404335849666253E-2</v>
      </c>
      <c r="BO47">
        <f t="shared" ref="BO47:DS47" si="16">+BO23/BO45</f>
        <v>5.8563183138331816E-2</v>
      </c>
      <c r="BP47">
        <f t="shared" si="16"/>
        <v>4.8395358788298704E-2</v>
      </c>
      <c r="BQ47">
        <f t="shared" si="16"/>
        <v>5.6197071846770356E-2</v>
      </c>
      <c r="BR47">
        <f t="shared" si="16"/>
        <v>5.8630039935955648E-2</v>
      </c>
      <c r="BS47">
        <f t="shared" si="16"/>
        <v>5.305036696922831E-2</v>
      </c>
      <c r="BT47">
        <f t="shared" si="16"/>
        <v>4.7669271233213267E-2</v>
      </c>
      <c r="BU47">
        <f t="shared" si="16"/>
        <v>4.4366516129867105E-2</v>
      </c>
      <c r="BV47">
        <f t="shared" si="16"/>
        <v>4.5719524154692361E-2</v>
      </c>
      <c r="BW47">
        <f t="shared" si="16"/>
        <v>4.5699148758854689E-2</v>
      </c>
      <c r="BX47">
        <f t="shared" si="16"/>
        <v>4.3702138239681755E-2</v>
      </c>
      <c r="BY47">
        <f t="shared" si="16"/>
        <v>4.6019241892255175E-2</v>
      </c>
      <c r="BZ47">
        <f t="shared" si="16"/>
        <v>4.3837905470669986E-2</v>
      </c>
      <c r="CA47">
        <f t="shared" si="16"/>
        <v>4.7846070542606374E-2</v>
      </c>
      <c r="CB47">
        <f t="shared" si="16"/>
        <v>4.2600365451806996E-2</v>
      </c>
      <c r="CC47">
        <f t="shared" si="16"/>
        <v>3.7399364804439034E-2</v>
      </c>
      <c r="CD47">
        <f t="shared" si="16"/>
        <v>3.6070423207214077E-2</v>
      </c>
      <c r="CE47">
        <f t="shared" si="16"/>
        <v>3.1789197047339839E-2</v>
      </c>
      <c r="CF47">
        <f t="shared" si="16"/>
        <v>2.9125766497241919E-2</v>
      </c>
      <c r="CG47">
        <f t="shared" si="16"/>
        <v>2.7992264462421285E-2</v>
      </c>
      <c r="CH47">
        <f t="shared" si="16"/>
        <v>3.0111887061650522E-2</v>
      </c>
      <c r="CI47">
        <f t="shared" si="16"/>
        <v>2.9390961209143026E-2</v>
      </c>
      <c r="CJ47">
        <f t="shared" si="16"/>
        <v>2.7764409728649169E-2</v>
      </c>
      <c r="CK47">
        <f t="shared" si="16"/>
        <v>2.4039183305809939E-2</v>
      </c>
      <c r="CL47">
        <f t="shared" si="16"/>
        <v>2.0984665052461663E-2</v>
      </c>
      <c r="CM47">
        <f t="shared" si="16"/>
        <v>2.1126505806171543E-2</v>
      </c>
      <c r="CN47">
        <f t="shared" si="16"/>
        <v>2.0404187109229706E-2</v>
      </c>
      <c r="CO47">
        <f t="shared" si="16"/>
        <v>2.1121099174157713E-2</v>
      </c>
      <c r="CP47">
        <f t="shared" si="16"/>
        <v>1.8628609408463184E-2</v>
      </c>
      <c r="CQ47">
        <f t="shared" si="16"/>
        <v>2.0199670793673512E-2</v>
      </c>
      <c r="CR47">
        <f t="shared" si="16"/>
        <v>1.901086335048599E-2</v>
      </c>
      <c r="CS47">
        <f t="shared" si="16"/>
        <v>1.9147959903995482E-2</v>
      </c>
      <c r="CT47">
        <f t="shared" si="16"/>
        <v>1.8106734434561626E-2</v>
      </c>
      <c r="CU47">
        <f t="shared" si="16"/>
        <v>1.6892552000994723E-2</v>
      </c>
      <c r="CV47">
        <f t="shared" si="16"/>
        <v>1.6460529440780459E-2</v>
      </c>
      <c r="CW47">
        <f t="shared" si="16"/>
        <v>1.4360361695819746E-2</v>
      </c>
      <c r="CX47">
        <f t="shared" si="16"/>
        <v>1.4065817409766455E-2</v>
      </c>
      <c r="CY47">
        <f t="shared" si="16"/>
        <v>1.3880065453845413E-2</v>
      </c>
      <c r="CZ47">
        <f t="shared" si="16"/>
        <v>1.369757599076568E-2</v>
      </c>
      <c r="DA47">
        <f t="shared" si="16"/>
        <v>1.509605682290327E-2</v>
      </c>
      <c r="DB47">
        <f t="shared" si="16"/>
        <v>1.3186593296648324E-2</v>
      </c>
      <c r="DC47">
        <f t="shared" si="16"/>
        <v>1.2762523624471767E-2</v>
      </c>
      <c r="DD47">
        <f t="shared" si="16"/>
        <v>1.0615306381896771E-2</v>
      </c>
      <c r="DE47">
        <f t="shared" si="16"/>
        <v>1.2084081546424421E-2</v>
      </c>
      <c r="DF47">
        <f t="shared" si="16"/>
        <v>1.0401881236362095E-2</v>
      </c>
      <c r="DG47">
        <f t="shared" si="16"/>
        <v>9.0362729636417893E-3</v>
      </c>
      <c r="DH47">
        <f t="shared" si="16"/>
        <v>7.1384693596559974E-3</v>
      </c>
      <c r="DI47">
        <f t="shared" si="16"/>
        <v>9.3449912994908596E-3</v>
      </c>
      <c r="DJ47">
        <f t="shared" si="16"/>
        <v>8.6626171540693433E-3</v>
      </c>
      <c r="DK47">
        <f t="shared" si="16"/>
        <v>8.637928546395366E-3</v>
      </c>
      <c r="DL47">
        <f t="shared" si="16"/>
        <v>7.7704102776626604E-3</v>
      </c>
      <c r="DM47">
        <f t="shared" si="16"/>
        <v>7.4550444435341826E-3</v>
      </c>
      <c r="DN47">
        <f t="shared" si="16"/>
        <v>7.6498540348185554E-3</v>
      </c>
      <c r="DO47">
        <f t="shared" si="16"/>
        <v>6.4724919093851136E-3</v>
      </c>
      <c r="DP47">
        <f t="shared" si="16"/>
        <v>6.6897980579616089E-3</v>
      </c>
      <c r="DQ47">
        <f t="shared" si="16"/>
        <v>6.8467504680395832E-3</v>
      </c>
      <c r="DR47">
        <f t="shared" si="16"/>
        <v>6.1771529194734045E-3</v>
      </c>
      <c r="DS47">
        <f t="shared" si="16"/>
        <v>6.2865751202271277E-3</v>
      </c>
    </row>
    <row r="48" spans="1:123" x14ac:dyDescent="0.35">
      <c r="BK48">
        <f>+SUM(BK26:BU26)</f>
        <v>216189.15084670667</v>
      </c>
      <c r="BL48">
        <f>+SUM(BK4:BU4)</f>
        <v>11091.5</v>
      </c>
      <c r="BM48">
        <f>+BL48/BK48*1000</f>
        <v>51.304609674259986</v>
      </c>
      <c r="BR48">
        <f>1/0.7</f>
        <v>1.4285714285714286</v>
      </c>
      <c r="DE48">
        <v>12.00684963</v>
      </c>
      <c r="DF48">
        <v>11.235720150000001</v>
      </c>
      <c r="DG48">
        <v>10.75549717</v>
      </c>
      <c r="DH48">
        <v>9.0906194029999998</v>
      </c>
      <c r="DI48">
        <v>8.4240313400000009</v>
      </c>
      <c r="DJ48">
        <v>7.3261365710000002</v>
      </c>
      <c r="DK48">
        <v>7.557933308</v>
      </c>
      <c r="DL48">
        <v>7.2228008240000001</v>
      </c>
      <c r="DM48">
        <v>7.640761586</v>
      </c>
      <c r="DN48">
        <v>7.3423179279999999</v>
      </c>
      <c r="DO48">
        <v>7.2413990840000002</v>
      </c>
      <c r="DP48">
        <v>6.9984618139999997</v>
      </c>
      <c r="DQ48">
        <v>6.7777501869999996</v>
      </c>
    </row>
    <row r="49" spans="1:125" x14ac:dyDescent="0.35">
      <c r="BK49">
        <f>+SUM(BK28:BU28)</f>
        <v>58329.312502994064</v>
      </c>
      <c r="BL49">
        <f>+BK6:BU6</f>
        <v>203</v>
      </c>
      <c r="BM49">
        <f>+BL49/BK49*1000</f>
        <v>3.4802398877850642</v>
      </c>
      <c r="BT49">
        <v>54870</v>
      </c>
      <c r="BU49">
        <v>55990</v>
      </c>
      <c r="BV49">
        <v>56470</v>
      </c>
      <c r="BW49">
        <v>56640</v>
      </c>
      <c r="BX49">
        <v>58280</v>
      </c>
      <c r="BY49">
        <v>59140</v>
      </c>
      <c r="BZ49">
        <v>59190</v>
      </c>
      <c r="CA49">
        <v>57976</v>
      </c>
      <c r="CB49">
        <v>57276</v>
      </c>
      <c r="CC49">
        <v>55770</v>
      </c>
      <c r="CD49">
        <v>53854</v>
      </c>
      <c r="CE49">
        <v>53923</v>
      </c>
      <c r="CF49">
        <v>53594</v>
      </c>
      <c r="CG49">
        <v>53405</v>
      </c>
    </row>
    <row r="50" spans="1:125" x14ac:dyDescent="0.35">
      <c r="BK50">
        <f>+SUM(BK45:BU45)</f>
        <v>550330.22444556223</v>
      </c>
      <c r="BL50">
        <f>+SUM(BK23:BU23)</f>
        <v>29270.5</v>
      </c>
      <c r="BM50">
        <f>+BL50/BK50*1000</f>
        <v>53.187156910178736</v>
      </c>
      <c r="CP50">
        <v>19.7</v>
      </c>
      <c r="CQ50">
        <v>21.3</v>
      </c>
      <c r="CR50">
        <v>19.8</v>
      </c>
      <c r="CS50">
        <v>20</v>
      </c>
      <c r="CT50">
        <v>16.2</v>
      </c>
      <c r="CU50">
        <v>18.3</v>
      </c>
      <c r="CV50">
        <v>17.399999999999999</v>
      </c>
      <c r="CW50">
        <v>15.2</v>
      </c>
      <c r="CX50">
        <v>14.6</v>
      </c>
      <c r="CY50">
        <v>15.3</v>
      </c>
      <c r="CZ50">
        <v>12.7</v>
      </c>
      <c r="DA50">
        <v>15</v>
      </c>
      <c r="DB50">
        <v>13.5</v>
      </c>
      <c r="DC50">
        <v>12.5</v>
      </c>
      <c r="DD50">
        <v>10.8</v>
      </c>
      <c r="DE50">
        <v>12.6</v>
      </c>
      <c r="DF50">
        <v>10.199999999999999</v>
      </c>
      <c r="DG50">
        <v>9.4</v>
      </c>
      <c r="DH50">
        <v>7.6</v>
      </c>
      <c r="DI50">
        <v>8.1999999999999993</v>
      </c>
      <c r="DJ50">
        <v>6.1</v>
      </c>
      <c r="DK50">
        <v>8.3000000000000007</v>
      </c>
      <c r="DL50">
        <v>7.2</v>
      </c>
      <c r="DM50">
        <v>7.4</v>
      </c>
      <c r="DN50">
        <v>7.4</v>
      </c>
      <c r="DO50">
        <v>6.9</v>
      </c>
      <c r="DP50">
        <v>6.6</v>
      </c>
      <c r="DQ50">
        <v>6.8</v>
      </c>
    </row>
    <row r="51" spans="1:125" x14ac:dyDescent="0.35">
      <c r="A51" t="s">
        <v>0</v>
      </c>
      <c r="B51">
        <v>1900</v>
      </c>
      <c r="C51">
        <v>1901</v>
      </c>
      <c r="D51">
        <v>1902</v>
      </c>
      <c r="E51">
        <v>1903</v>
      </c>
      <c r="F51">
        <v>1904</v>
      </c>
      <c r="G51">
        <v>1905</v>
      </c>
      <c r="H51">
        <v>1906</v>
      </c>
      <c r="I51">
        <v>1907</v>
      </c>
      <c r="J51">
        <v>1908</v>
      </c>
      <c r="K51">
        <v>1909</v>
      </c>
      <c r="L51">
        <v>1910</v>
      </c>
      <c r="M51">
        <v>1911</v>
      </c>
      <c r="N51">
        <v>1912</v>
      </c>
      <c r="O51">
        <v>1913</v>
      </c>
      <c r="P51">
        <v>1914</v>
      </c>
      <c r="Q51">
        <v>1915</v>
      </c>
      <c r="R51">
        <v>1916</v>
      </c>
      <c r="S51">
        <v>1917</v>
      </c>
      <c r="T51">
        <v>1918</v>
      </c>
      <c r="U51">
        <v>1919</v>
      </c>
      <c r="V51">
        <v>1920</v>
      </c>
      <c r="W51">
        <v>1921</v>
      </c>
      <c r="X51">
        <v>1922</v>
      </c>
      <c r="Y51">
        <v>1923</v>
      </c>
      <c r="Z51">
        <v>1924</v>
      </c>
      <c r="AA51">
        <v>1925</v>
      </c>
      <c r="AB51">
        <v>1926</v>
      </c>
      <c r="AC51">
        <v>1927</v>
      </c>
      <c r="AD51">
        <v>1928</v>
      </c>
      <c r="AE51">
        <v>1929</v>
      </c>
      <c r="AF51">
        <v>1930</v>
      </c>
      <c r="AG51">
        <v>1931</v>
      </c>
      <c r="AH51">
        <v>1932</v>
      </c>
      <c r="AI51">
        <v>1933</v>
      </c>
      <c r="AJ51">
        <v>1934</v>
      </c>
      <c r="AK51">
        <v>1935</v>
      </c>
      <c r="AL51">
        <v>1936</v>
      </c>
      <c r="AM51">
        <v>1937</v>
      </c>
      <c r="AN51">
        <v>1938</v>
      </c>
      <c r="AO51">
        <v>1939</v>
      </c>
      <c r="AP51">
        <v>1940</v>
      </c>
      <c r="AQ51">
        <v>1941</v>
      </c>
      <c r="AR51">
        <v>1942</v>
      </c>
      <c r="AS51">
        <v>1943</v>
      </c>
      <c r="AT51">
        <v>1944</v>
      </c>
      <c r="AU51">
        <v>1945</v>
      </c>
      <c r="AV51">
        <v>1946</v>
      </c>
      <c r="AW51">
        <v>1947</v>
      </c>
      <c r="AX51">
        <v>1948</v>
      </c>
      <c r="AY51">
        <v>1949</v>
      </c>
      <c r="AZ51">
        <v>1950</v>
      </c>
      <c r="BA51">
        <v>1951</v>
      </c>
      <c r="BB51">
        <v>1952</v>
      </c>
      <c r="BC51">
        <v>1953</v>
      </c>
      <c r="BD51">
        <v>1954</v>
      </c>
      <c r="BE51">
        <v>1955</v>
      </c>
      <c r="BF51">
        <v>1956</v>
      </c>
      <c r="BG51">
        <v>1957</v>
      </c>
      <c r="BH51">
        <v>1958</v>
      </c>
      <c r="BI51">
        <v>1959</v>
      </c>
      <c r="BJ51">
        <v>1960</v>
      </c>
      <c r="BK51">
        <v>1961</v>
      </c>
      <c r="BL51">
        <v>1962</v>
      </c>
      <c r="BM51">
        <v>1963</v>
      </c>
      <c r="BN51">
        <v>1964</v>
      </c>
      <c r="BO51">
        <v>1965</v>
      </c>
      <c r="BP51">
        <v>1966</v>
      </c>
      <c r="BQ51">
        <v>1967</v>
      </c>
      <c r="BR51">
        <v>1968</v>
      </c>
      <c r="BS51">
        <v>1969</v>
      </c>
      <c r="BT51">
        <v>1970</v>
      </c>
      <c r="BU51">
        <v>1971</v>
      </c>
      <c r="BV51">
        <v>1972</v>
      </c>
      <c r="BW51">
        <v>1973</v>
      </c>
      <c r="BX51">
        <v>1974</v>
      </c>
      <c r="BY51">
        <v>1975</v>
      </c>
      <c r="BZ51">
        <v>1976</v>
      </c>
      <c r="CA51">
        <v>1977</v>
      </c>
      <c r="CB51">
        <v>1978</v>
      </c>
      <c r="CC51">
        <v>1979</v>
      </c>
      <c r="CD51">
        <v>1980</v>
      </c>
      <c r="CE51">
        <v>1981</v>
      </c>
      <c r="CF51">
        <v>1982</v>
      </c>
      <c r="CG51">
        <v>1983</v>
      </c>
      <c r="CH51">
        <v>1984</v>
      </c>
      <c r="CI51">
        <v>1985</v>
      </c>
      <c r="CJ51">
        <v>1986</v>
      </c>
      <c r="CK51">
        <v>1987</v>
      </c>
      <c r="CL51">
        <v>1988</v>
      </c>
      <c r="CM51">
        <v>1989</v>
      </c>
      <c r="CN51">
        <v>1990</v>
      </c>
      <c r="CO51">
        <v>1991</v>
      </c>
      <c r="CP51">
        <v>1992</v>
      </c>
      <c r="CQ51">
        <v>1993</v>
      </c>
      <c r="CR51">
        <v>1994</v>
      </c>
      <c r="CS51">
        <v>1995</v>
      </c>
      <c r="CT51">
        <v>1996</v>
      </c>
      <c r="CU51">
        <v>1997</v>
      </c>
      <c r="CV51">
        <v>1998</v>
      </c>
      <c r="CW51">
        <v>1999</v>
      </c>
      <c r="CX51">
        <v>2000</v>
      </c>
      <c r="CY51">
        <v>2001</v>
      </c>
      <c r="CZ51">
        <v>2002</v>
      </c>
      <c r="DA51">
        <v>2003</v>
      </c>
      <c r="DB51">
        <v>2004</v>
      </c>
      <c r="DC51">
        <v>2005</v>
      </c>
      <c r="DD51">
        <v>2006</v>
      </c>
      <c r="DE51">
        <v>2007</v>
      </c>
      <c r="DF51">
        <v>2008</v>
      </c>
      <c r="DG51">
        <v>2009</v>
      </c>
      <c r="DH51">
        <v>2010</v>
      </c>
      <c r="DI51">
        <v>2011</v>
      </c>
      <c r="DJ51">
        <v>2012</v>
      </c>
      <c r="DK51">
        <v>2013</v>
      </c>
      <c r="DL51">
        <v>2014</v>
      </c>
      <c r="DM51">
        <v>2015</v>
      </c>
      <c r="DN51">
        <v>2016</v>
      </c>
      <c r="DO51">
        <v>2017</v>
      </c>
      <c r="DP51">
        <v>2018</v>
      </c>
      <c r="DQ51">
        <v>2019</v>
      </c>
      <c r="DR51">
        <v>2020</v>
      </c>
      <c r="DS51">
        <v>2021</v>
      </c>
      <c r="DU51" t="s">
        <v>1</v>
      </c>
    </row>
    <row r="52" spans="1:125" x14ac:dyDescent="0.35">
      <c r="A52" t="s">
        <v>2</v>
      </c>
      <c r="B52">
        <f t="shared" ref="B52:BM55" si="17">+B4/B26</f>
        <v>0.1132880181260829</v>
      </c>
      <c r="C52">
        <f t="shared" si="17"/>
        <v>0.12308282208588957</v>
      </c>
      <c r="D52">
        <f t="shared" si="17"/>
        <v>0.11884094970640796</v>
      </c>
      <c r="E52">
        <f t="shared" si="17"/>
        <v>0.11943069306930693</v>
      </c>
      <c r="F52">
        <f t="shared" si="17"/>
        <v>0.10836658433086326</v>
      </c>
      <c r="G52">
        <f t="shared" si="17"/>
        <v>9.677000908029576E-2</v>
      </c>
      <c r="H52">
        <f t="shared" si="17"/>
        <v>0.10164954870837224</v>
      </c>
      <c r="I52">
        <f t="shared" si="17"/>
        <v>0.10615126854954524</v>
      </c>
      <c r="J52">
        <f t="shared" si="17"/>
        <v>9.7856899875269299E-2</v>
      </c>
      <c r="K52">
        <f t="shared" si="17"/>
        <v>0.11264681780934171</v>
      </c>
      <c r="L52">
        <f t="shared" si="17"/>
        <v>0.12639679527725067</v>
      </c>
      <c r="M52">
        <f t="shared" si="17"/>
        <v>0.11665309446254071</v>
      </c>
      <c r="N52">
        <f t="shared" si="17"/>
        <v>0.13782465917006667</v>
      </c>
      <c r="O52">
        <f t="shared" si="17"/>
        <v>0.1169641143734408</v>
      </c>
      <c r="P52">
        <f t="shared" si="17"/>
        <v>0.11054472763618191</v>
      </c>
      <c r="Q52">
        <f t="shared" si="17"/>
        <v>0.14769874476987449</v>
      </c>
      <c r="R52">
        <f t="shared" si="17"/>
        <v>0.11083875093253757</v>
      </c>
      <c r="S52">
        <f t="shared" si="17"/>
        <v>0.10839428010042572</v>
      </c>
      <c r="T52">
        <f t="shared" si="17"/>
        <v>0.11333469471104758</v>
      </c>
      <c r="U52">
        <f t="shared" si="17"/>
        <v>0.11891620672353237</v>
      </c>
      <c r="V52">
        <f t="shared" si="17"/>
        <v>0.13545514824287203</v>
      </c>
      <c r="W52">
        <f t="shared" si="17"/>
        <v>9.8489761882701754E-2</v>
      </c>
      <c r="X52">
        <f t="shared" si="17"/>
        <v>0.11142604074402125</v>
      </c>
      <c r="Y52">
        <f t="shared" si="17"/>
        <v>0.11627499123114697</v>
      </c>
      <c r="Z52">
        <f t="shared" si="17"/>
        <v>0.12746234067207415</v>
      </c>
      <c r="AA52">
        <f t="shared" si="17"/>
        <v>0.1118216101000164</v>
      </c>
      <c r="AB52">
        <f t="shared" si="17"/>
        <v>0.10991312441824387</v>
      </c>
      <c r="AC52">
        <f t="shared" si="17"/>
        <v>0.12426666666666666</v>
      </c>
      <c r="AD52">
        <f t="shared" si="17"/>
        <v>0.10018070112034695</v>
      </c>
      <c r="AE52">
        <f t="shared" si="17"/>
        <v>9.5098179733409768E-2</v>
      </c>
      <c r="AF52">
        <f t="shared" si="17"/>
        <v>0.11192130425810003</v>
      </c>
      <c r="AG52">
        <f t="shared" si="17"/>
        <v>0.12981073664954618</v>
      </c>
      <c r="AH52">
        <f t="shared" si="17"/>
        <v>0.11044880785413745</v>
      </c>
      <c r="AI52">
        <f t="shared" si="17"/>
        <v>9.6059113300492605E-2</v>
      </c>
      <c r="AJ52">
        <f t="shared" si="17"/>
        <v>9.3120870579090562E-2</v>
      </c>
      <c r="AK52">
        <f t="shared" si="17"/>
        <v>0.10550968561448079</v>
      </c>
      <c r="AL52">
        <f t="shared" si="17"/>
        <v>8.7448318901630392E-2</v>
      </c>
      <c r="AM52">
        <f t="shared" si="17"/>
        <v>9.7779509154655234E-2</v>
      </c>
      <c r="AN52">
        <f t="shared" si="17"/>
        <v>0.10030728709394206</v>
      </c>
      <c r="AO52">
        <f t="shared" si="17"/>
        <v>8.1023454157782518E-2</v>
      </c>
      <c r="AP52">
        <f t="shared" si="17"/>
        <v>8.6856904811497604E-2</v>
      </c>
      <c r="AQ52">
        <f t="shared" si="17"/>
        <v>8.0515739661202929E-2</v>
      </c>
      <c r="AR52">
        <f t="shared" si="17"/>
        <v>8.4310069259456583E-2</v>
      </c>
      <c r="AS52">
        <f t="shared" si="17"/>
        <v>6.6153062523876219E-2</v>
      </c>
      <c r="AT52">
        <f t="shared" si="17"/>
        <v>6.1251005382664106E-2</v>
      </c>
      <c r="AU52">
        <f t="shared" si="17"/>
        <v>5.005988023952096E-2</v>
      </c>
      <c r="AV52">
        <f t="shared" si="17"/>
        <v>4.8676748582230624E-2</v>
      </c>
      <c r="AW52">
        <f t="shared" si="17"/>
        <v>7.5531367213355891E-2</v>
      </c>
      <c r="AX52">
        <f t="shared" si="17"/>
        <v>6.570330296127562E-2</v>
      </c>
      <c r="AY52">
        <f t="shared" si="17"/>
        <v>5.2314138784839058E-2</v>
      </c>
      <c r="AZ52" s="10">
        <f t="shared" si="17"/>
        <v>6.0077299079231559E-2</v>
      </c>
      <c r="BA52" s="10">
        <f t="shared" si="17"/>
        <v>7.0839908819919334E-2</v>
      </c>
      <c r="BB52" s="10">
        <f t="shared" si="17"/>
        <v>5.876239206907579E-2</v>
      </c>
      <c r="BC52" s="10">
        <f t="shared" si="17"/>
        <v>4.7497683039851711E-2</v>
      </c>
      <c r="BD52" s="10">
        <f t="shared" si="17"/>
        <v>4.5813695591904631E-2</v>
      </c>
      <c r="BE52">
        <f t="shared" si="17"/>
        <v>3.8245832290509311E-2</v>
      </c>
      <c r="BF52">
        <f t="shared" si="17"/>
        <v>3.4981306440223084E-2</v>
      </c>
      <c r="BG52">
        <f t="shared" si="17"/>
        <v>4.2582274089304477E-2</v>
      </c>
      <c r="BH52">
        <f t="shared" si="17"/>
        <v>5.4100699934410974E-2</v>
      </c>
      <c r="BI52">
        <f t="shared" si="17"/>
        <v>5.6956671807479202E-2</v>
      </c>
      <c r="BJ52">
        <f t="shared" si="17"/>
        <v>4.9041527714610268E-2</v>
      </c>
      <c r="BK52">
        <f t="shared" si="17"/>
        <v>4.6129391557863719E-2</v>
      </c>
      <c r="BL52">
        <f t="shared" si="17"/>
        <v>4.7631746718396428E-2</v>
      </c>
      <c r="BM52">
        <f t="shared" si="17"/>
        <v>5.0794637513457912E-2</v>
      </c>
      <c r="BN52">
        <f t="shared" ref="BN52:CS59" si="18">+BN4/BN26</f>
        <v>5.5489620069653071E-2</v>
      </c>
      <c r="BO52">
        <f t="shared" si="18"/>
        <v>5.5146964544503449E-2</v>
      </c>
      <c r="BP52">
        <f t="shared" si="18"/>
        <v>4.5229622415351882E-2</v>
      </c>
      <c r="BQ52">
        <f t="shared" si="18"/>
        <v>5.421037426374932E-2</v>
      </c>
      <c r="BR52">
        <f t="shared" si="18"/>
        <v>5.9312057944599289E-2</v>
      </c>
      <c r="BS52">
        <f t="shared" si="18"/>
        <v>5.4723151146953718E-2</v>
      </c>
      <c r="BT52">
        <f t="shared" si="18"/>
        <v>5.032704886494805E-2</v>
      </c>
      <c r="BU52">
        <f t="shared" si="18"/>
        <v>4.4938820912124582E-2</v>
      </c>
      <c r="BV52">
        <f t="shared" si="18"/>
        <v>4.4825581395348833E-2</v>
      </c>
      <c r="BW52">
        <f t="shared" si="18"/>
        <v>4.1851311953352767E-2</v>
      </c>
      <c r="BX52">
        <f t="shared" si="18"/>
        <v>4.3181818181818182E-2</v>
      </c>
      <c r="BY52">
        <f t="shared" si="18"/>
        <v>4.6259541984732824E-2</v>
      </c>
      <c r="BZ52">
        <f t="shared" si="18"/>
        <v>4.3003842123646517E-2</v>
      </c>
      <c r="CA52">
        <f t="shared" si="18"/>
        <v>4.9284253578732104E-2</v>
      </c>
      <c r="CB52">
        <f t="shared" si="18"/>
        <v>4.4212285833681572E-2</v>
      </c>
      <c r="CC52">
        <f t="shared" si="18"/>
        <v>3.6263970954652239E-2</v>
      </c>
      <c r="CD52">
        <f t="shared" si="18"/>
        <v>3.6433993153743113E-2</v>
      </c>
      <c r="CE52">
        <f t="shared" si="18"/>
        <v>3.2594582493843741E-2</v>
      </c>
      <c r="CF52">
        <f t="shared" si="18"/>
        <v>2.9837933841485975E-2</v>
      </c>
      <c r="CG52">
        <f t="shared" si="18"/>
        <v>2.6172300981461283E-2</v>
      </c>
      <c r="CH52">
        <f t="shared" si="18"/>
        <v>3.259658246656761E-2</v>
      </c>
      <c r="CI52">
        <f t="shared" si="18"/>
        <v>2.9664541169947326E-2</v>
      </c>
      <c r="CJ52">
        <f t="shared" si="18"/>
        <v>2.7152970696298951E-2</v>
      </c>
      <c r="CK52">
        <f t="shared" si="18"/>
        <v>2.3973521781912515E-2</v>
      </c>
      <c r="CL52">
        <f t="shared" si="18"/>
        <v>2.0609318996415771E-2</v>
      </c>
      <c r="CM52">
        <f t="shared" si="18"/>
        <v>2.0987328405491026E-2</v>
      </c>
      <c r="CN52">
        <f t="shared" si="18"/>
        <v>2.0326428663709574E-2</v>
      </c>
      <c r="CO52">
        <f t="shared" si="18"/>
        <v>2.0957812782907839E-2</v>
      </c>
      <c r="CP52">
        <f t="shared" si="18"/>
        <v>1.9673523306284205E-2</v>
      </c>
      <c r="CQ52">
        <f t="shared" si="18"/>
        <v>2.1268550902731827E-2</v>
      </c>
      <c r="CR52">
        <f t="shared" si="18"/>
        <v>1.9758351101634684E-2</v>
      </c>
      <c r="CS52">
        <f t="shared" si="18"/>
        <v>1.9951271089045187E-2</v>
      </c>
      <c r="CT52">
        <f>+CT4/CS26</f>
        <v>1.7330942858456305E-2</v>
      </c>
      <c r="CU52">
        <f t="shared" ref="CU52:DS63" si="19">+CU4/CU26</f>
        <v>1.8270923538088214E-2</v>
      </c>
      <c r="CV52">
        <f t="shared" si="19"/>
        <v>1.7313490905553935E-2</v>
      </c>
      <c r="CW52">
        <f t="shared" si="19"/>
        <v>1.5241617110589176E-2</v>
      </c>
      <c r="CX52">
        <f t="shared" si="19"/>
        <v>1.4614838120369431E-2</v>
      </c>
      <c r="CY52">
        <f t="shared" si="19"/>
        <v>1.5261369974141865E-2</v>
      </c>
      <c r="CZ52">
        <f t="shared" si="19"/>
        <v>1.2728840204878543E-2</v>
      </c>
      <c r="DA52">
        <f t="shared" si="19"/>
        <v>1.5016743407283381E-2</v>
      </c>
      <c r="DB52">
        <f t="shared" si="19"/>
        <v>1.346349836399721E-2</v>
      </c>
      <c r="DC52">
        <f t="shared" si="19"/>
        <v>1.254746574211656E-2</v>
      </c>
      <c r="DD52">
        <f t="shared" si="19"/>
        <v>1.0839669956317749E-2</v>
      </c>
      <c r="DE52">
        <f t="shared" si="19"/>
        <v>1.2633413199738619E-2</v>
      </c>
      <c r="DF52">
        <f t="shared" si="19"/>
        <v>1.0234077299945563E-2</v>
      </c>
      <c r="DG52">
        <f t="shared" si="19"/>
        <v>9.3990010204629687E-3</v>
      </c>
      <c r="DH52">
        <f t="shared" si="19"/>
        <v>7.6387798880343223E-3</v>
      </c>
      <c r="DI52">
        <f t="shared" si="19"/>
        <v>8.0788074637756693E-3</v>
      </c>
      <c r="DJ52">
        <f t="shared" si="19"/>
        <v>6.1053167133045027E-3</v>
      </c>
      <c r="DK52">
        <f t="shared" si="19"/>
        <v>8.334170097399337E-3</v>
      </c>
      <c r="DL52">
        <f t="shared" si="19"/>
        <v>7.2289156626506026E-3</v>
      </c>
      <c r="DM52">
        <f t="shared" si="19"/>
        <v>7.3591989987484355E-3</v>
      </c>
      <c r="DN52">
        <f t="shared" si="19"/>
        <v>7.4388391220074389E-3</v>
      </c>
      <c r="DO52">
        <f t="shared" si="19"/>
        <v>6.9261591299370345E-3</v>
      </c>
      <c r="DP52">
        <f t="shared" si="19"/>
        <v>6.6303871895915427E-3</v>
      </c>
      <c r="DQ52">
        <f t="shared" si="19"/>
        <v>6.7767042404723562E-3</v>
      </c>
      <c r="DR52">
        <f t="shared" si="19"/>
        <v>6.2455642299503195E-3</v>
      </c>
      <c r="DS52">
        <f t="shared" si="19"/>
        <v>5.6118358720209901E-3</v>
      </c>
      <c r="DU52">
        <f>+AVERAGE(DD52:DQ52)</f>
        <v>8.2588171415990102E-3</v>
      </c>
    </row>
    <row r="53" spans="1:125" x14ac:dyDescent="0.35">
      <c r="A53" t="s">
        <v>3</v>
      </c>
      <c r="B53">
        <f t="shared" si="17"/>
        <v>0.1295215869311552</v>
      </c>
      <c r="C53">
        <f t="shared" si="17"/>
        <v>0.13058035714285715</v>
      </c>
      <c r="D53">
        <f t="shared" si="17"/>
        <v>0.19101123595505617</v>
      </c>
      <c r="E53">
        <f t="shared" si="17"/>
        <v>0.14319809069212411</v>
      </c>
      <c r="F53">
        <f t="shared" si="17"/>
        <v>0.11708683473389356</v>
      </c>
      <c r="G53">
        <f t="shared" si="17"/>
        <v>9.398099260823653E-2</v>
      </c>
      <c r="H53">
        <f t="shared" si="17"/>
        <v>0.12778684067427951</v>
      </c>
      <c r="I53">
        <f t="shared" si="17"/>
        <v>0.16367713004484305</v>
      </c>
      <c r="J53">
        <f t="shared" si="17"/>
        <v>0.14195583596214512</v>
      </c>
      <c r="K53">
        <f t="shared" si="17"/>
        <v>0.15107161526398327</v>
      </c>
      <c r="L53">
        <f t="shared" si="17"/>
        <v>0.16008316008316009</v>
      </c>
      <c r="M53">
        <f t="shared" si="17"/>
        <v>0.16649949849548645</v>
      </c>
      <c r="N53">
        <f t="shared" si="17"/>
        <v>0.14313346228239845</v>
      </c>
      <c r="O53">
        <f t="shared" si="17"/>
        <v>0.13169845594913715</v>
      </c>
      <c r="P53">
        <f t="shared" si="17"/>
        <v>0.13212669683257919</v>
      </c>
      <c r="Q53">
        <f t="shared" si="17"/>
        <v>0.15280464216634429</v>
      </c>
      <c r="R53">
        <f t="shared" si="17"/>
        <v>0.22440087145969498</v>
      </c>
      <c r="S53">
        <f t="shared" si="17"/>
        <v>0.15009940357852883</v>
      </c>
      <c r="T53">
        <f t="shared" si="17"/>
        <v>0.19239130434782609</v>
      </c>
      <c r="U53">
        <f t="shared" si="17"/>
        <v>0.10542476970317298</v>
      </c>
      <c r="V53">
        <f t="shared" si="17"/>
        <v>0.13012295081967212</v>
      </c>
      <c r="W53">
        <f t="shared" si="17"/>
        <v>0.15519013360739981</v>
      </c>
      <c r="X53">
        <f t="shared" si="17"/>
        <v>0.13299492385786801</v>
      </c>
      <c r="Y53">
        <f t="shared" si="17"/>
        <v>0.15308151093439365</v>
      </c>
      <c r="Z53">
        <f t="shared" si="17"/>
        <v>0.16850828729281769</v>
      </c>
      <c r="AA53">
        <f t="shared" si="17"/>
        <v>0.16593886462882096</v>
      </c>
      <c r="AB53">
        <f t="shared" si="17"/>
        <v>0.12903225806451613</v>
      </c>
      <c r="AC53">
        <f t="shared" si="17"/>
        <v>0.18028419182948491</v>
      </c>
      <c r="AD53">
        <f t="shared" si="17"/>
        <v>0.13977566867989646</v>
      </c>
      <c r="AE53">
        <f t="shared" si="17"/>
        <v>0.12052730696798493</v>
      </c>
      <c r="AF53">
        <f t="shared" si="17"/>
        <v>0.13178984861976847</v>
      </c>
      <c r="AG53">
        <f t="shared" si="17"/>
        <v>0.1455223880597015</v>
      </c>
      <c r="AH53">
        <f t="shared" si="17"/>
        <v>0.16281138790035588</v>
      </c>
      <c r="AI53">
        <f t="shared" si="17"/>
        <v>0.1438415159345392</v>
      </c>
      <c r="AJ53">
        <f t="shared" si="17"/>
        <v>0.14349376114081996</v>
      </c>
      <c r="AK53">
        <f t="shared" si="17"/>
        <v>0.13127753303964756</v>
      </c>
      <c r="AL53">
        <f t="shared" si="17"/>
        <v>0.13499570077386069</v>
      </c>
      <c r="AM53">
        <f t="shared" si="17"/>
        <v>0.16979362101313319</v>
      </c>
      <c r="AN53">
        <f t="shared" si="17"/>
        <v>0.12786596119929453</v>
      </c>
      <c r="AO53">
        <f t="shared" si="17"/>
        <v>0.11350455675227837</v>
      </c>
      <c r="AP53">
        <f t="shared" si="17"/>
        <v>0.11479028697571744</v>
      </c>
      <c r="AQ53">
        <f t="shared" si="17"/>
        <v>0.10307298335467349</v>
      </c>
      <c r="AR53">
        <f t="shared" si="17"/>
        <v>0.11629686304514154</v>
      </c>
      <c r="AS53">
        <f t="shared" si="17"/>
        <v>0.1440677966101695</v>
      </c>
      <c r="AT53">
        <f t="shared" si="17"/>
        <v>9.7697138869504541E-2</v>
      </c>
      <c r="AU53">
        <f t="shared" si="17"/>
        <v>9.110169491525423E-2</v>
      </c>
      <c r="AV53">
        <f t="shared" si="17"/>
        <v>4.9792531120331947E-2</v>
      </c>
      <c r="AW53">
        <f t="shared" si="17"/>
        <v>7.720588235294118E-2</v>
      </c>
      <c r="AX53">
        <f t="shared" si="17"/>
        <v>5.9646987218502742E-2</v>
      </c>
      <c r="AY53">
        <f t="shared" si="17"/>
        <v>4.9368541905855337E-2</v>
      </c>
      <c r="AZ53" s="10">
        <f t="shared" si="17"/>
        <v>0.11535337124289195</v>
      </c>
      <c r="BA53" s="10">
        <f t="shared" si="17"/>
        <v>0.1264131551901336</v>
      </c>
      <c r="BB53" s="10">
        <f t="shared" si="17"/>
        <v>0.10645724258289703</v>
      </c>
      <c r="BC53" s="10">
        <f t="shared" si="17"/>
        <v>0.10237659963436929</v>
      </c>
      <c r="BD53" s="10">
        <f t="shared" si="17"/>
        <v>6.5198237885462557E-2</v>
      </c>
      <c r="BE53">
        <f t="shared" si="17"/>
        <v>0.11082701745247049</v>
      </c>
      <c r="BF53">
        <f t="shared" si="17"/>
        <v>8.0833394913070969E-2</v>
      </c>
      <c r="BG53">
        <f t="shared" si="17"/>
        <v>0.11873727994771395</v>
      </c>
      <c r="BH53">
        <f t="shared" si="17"/>
        <v>0.10189478898245935</v>
      </c>
      <c r="BI53">
        <f t="shared" si="17"/>
        <v>8.640633895568689E-2</v>
      </c>
      <c r="BJ53">
        <f t="shared" si="17"/>
        <v>9.5230181146885529E-2</v>
      </c>
      <c r="BK53">
        <f t="shared" si="17"/>
        <v>7.0968609216852538E-2</v>
      </c>
      <c r="BL53">
        <f t="shared" si="17"/>
        <v>6.974255153678062E-2</v>
      </c>
      <c r="BM53">
        <f t="shared" si="17"/>
        <v>8.1341416837273972E-2</v>
      </c>
      <c r="BN53">
        <f t="shared" si="18"/>
        <v>5.6991520019889177E-2</v>
      </c>
      <c r="BO53">
        <f t="shared" si="18"/>
        <v>8.728352932684863E-2</v>
      </c>
      <c r="BP53">
        <f t="shared" si="18"/>
        <v>7.6483255968546451E-2</v>
      </c>
      <c r="BQ53">
        <f t="shared" si="18"/>
        <v>8.0079062348740737E-2</v>
      </c>
      <c r="BR53">
        <f t="shared" si="18"/>
        <v>9.1121234910904209E-2</v>
      </c>
      <c r="BS53">
        <f t="shared" si="18"/>
        <v>6.8856230778151492E-2</v>
      </c>
      <c r="BT53">
        <f t="shared" si="18"/>
        <v>4.7333333333333331E-2</v>
      </c>
      <c r="BU53">
        <f t="shared" si="18"/>
        <v>5.2702702702702706E-2</v>
      </c>
      <c r="BV53">
        <f t="shared" si="18"/>
        <v>6.225165562913907E-2</v>
      </c>
      <c r="BW53">
        <f t="shared" si="18"/>
        <v>5.7894736842105263E-2</v>
      </c>
      <c r="BX53">
        <f t="shared" si="18"/>
        <v>6.5034965034965031E-2</v>
      </c>
      <c r="BY53">
        <f t="shared" si="18"/>
        <v>5.3435114503816793E-2</v>
      </c>
      <c r="BZ53">
        <f t="shared" si="18"/>
        <v>5.2816901408450703E-2</v>
      </c>
      <c r="CA53">
        <f t="shared" si="18"/>
        <v>5.2504038772213248E-2</v>
      </c>
      <c r="CB53">
        <f t="shared" si="18"/>
        <v>4.4709388971684055E-2</v>
      </c>
      <c r="CC53">
        <f t="shared" si="18"/>
        <v>3.7565740045078885E-2</v>
      </c>
      <c r="CD53">
        <f t="shared" si="18"/>
        <v>3.4057971014492754E-2</v>
      </c>
      <c r="CE53">
        <f t="shared" si="18"/>
        <v>3.591160220994475E-2</v>
      </c>
      <c r="CF53">
        <f t="shared" si="18"/>
        <v>3.6298932384341634E-2</v>
      </c>
      <c r="CG53">
        <f t="shared" si="18"/>
        <v>4.077540106951872E-2</v>
      </c>
      <c r="CH53">
        <f t="shared" si="18"/>
        <v>2.9520295202952029E-2</v>
      </c>
      <c r="CI53">
        <f t="shared" si="18"/>
        <v>2.954808806488992E-2</v>
      </c>
      <c r="CJ53">
        <f t="shared" si="18"/>
        <v>2.132701421800948E-2</v>
      </c>
      <c r="CK53">
        <f t="shared" si="18"/>
        <v>2.567237163814181E-2</v>
      </c>
      <c r="CL53">
        <f t="shared" si="18"/>
        <v>2.3001725129384705E-2</v>
      </c>
      <c r="CM53">
        <f t="shared" si="18"/>
        <v>2.1666666666666667E-2</v>
      </c>
      <c r="CN53">
        <f t="shared" si="18"/>
        <v>1.9573978123200921E-2</v>
      </c>
      <c r="CO53">
        <f t="shared" si="18"/>
        <v>2.3382272974442633E-2</v>
      </c>
      <c r="CP53">
        <f t="shared" si="18"/>
        <v>2.2131624927198602E-2</v>
      </c>
      <c r="CQ53">
        <f t="shared" si="18"/>
        <v>1.7462165308498253E-2</v>
      </c>
      <c r="CR53">
        <f t="shared" si="18"/>
        <v>2.0224719101123594E-2</v>
      </c>
      <c r="CS53">
        <f t="shared" si="18"/>
        <v>1.853932584269663E-2</v>
      </c>
      <c r="CT53">
        <f>+CT5/CS27</f>
        <v>2.4157303370786518E-2</v>
      </c>
      <c r="CU53">
        <f t="shared" si="19"/>
        <v>2.3730684326710817E-2</v>
      </c>
      <c r="CV53">
        <f t="shared" si="19"/>
        <v>1.831964624131396E-2</v>
      </c>
      <c r="CW53">
        <f t="shared" si="19"/>
        <v>1.5974440894568689E-2</v>
      </c>
      <c r="CX53">
        <f t="shared" si="19"/>
        <v>1.7663043478260868E-2</v>
      </c>
      <c r="CY53">
        <f t="shared" si="19"/>
        <v>1.1204481792717087E-2</v>
      </c>
      <c r="CZ53">
        <f t="shared" si="19"/>
        <v>1.31852879944483E-2</v>
      </c>
      <c r="DA53">
        <f t="shared" si="19"/>
        <v>2.9850746268656716E-2</v>
      </c>
      <c r="DB53">
        <f t="shared" si="19"/>
        <v>1.5479876160990712E-2</v>
      </c>
      <c r="DC53">
        <f t="shared" si="19"/>
        <v>1.3181019332161687E-2</v>
      </c>
      <c r="DD53">
        <f t="shared" si="19"/>
        <v>1.2832263978001834E-2</v>
      </c>
      <c r="DE53">
        <f t="shared" si="19"/>
        <v>1.0752688172043012E-2</v>
      </c>
      <c r="DF53">
        <f t="shared" si="19"/>
        <v>1.4349775784753363E-2</v>
      </c>
      <c r="DG53">
        <f t="shared" si="19"/>
        <v>6.5843621399176953E-3</v>
      </c>
      <c r="DH53">
        <f t="shared" si="19"/>
        <v>6.956521739130435E-3</v>
      </c>
      <c r="DI53">
        <f t="shared" si="19"/>
        <v>1.1494252873563218E-2</v>
      </c>
      <c r="DJ53">
        <f t="shared" si="19"/>
        <v>1.3077593722755012E-2</v>
      </c>
      <c r="DK53">
        <f t="shared" si="19"/>
        <v>8.5910652920962206E-3</v>
      </c>
      <c r="DL53">
        <f t="shared" si="19"/>
        <v>8.9206066012488851E-3</v>
      </c>
      <c r="DM53">
        <f t="shared" si="19"/>
        <v>9.4043887147335428E-3</v>
      </c>
      <c r="DN53">
        <f t="shared" si="19"/>
        <v>9.1743119266055051E-3</v>
      </c>
      <c r="DO53">
        <f t="shared" si="19"/>
        <v>5.3908355795148251E-3</v>
      </c>
      <c r="DP53">
        <f t="shared" si="19"/>
        <v>5.4298642533936649E-3</v>
      </c>
      <c r="DQ53">
        <f t="shared" si="19"/>
        <v>6.653992395437262E-3</v>
      </c>
      <c r="DR53">
        <f t="shared" si="19"/>
        <v>4.8780487804878049E-3</v>
      </c>
      <c r="DS53">
        <f t="shared" si="19"/>
        <v>7.6701821668264617E-3</v>
      </c>
      <c r="DU53">
        <f t="shared" ref="DU53:DU70" si="20">+AVERAGE(DD53:DQ53)</f>
        <v>9.2580373695138902E-3</v>
      </c>
    </row>
    <row r="54" spans="1:125" x14ac:dyDescent="0.35">
      <c r="A54" t="s">
        <v>4</v>
      </c>
      <c r="B54">
        <f t="shared" si="17"/>
        <v>9.7508896797153022E-2</v>
      </c>
      <c r="C54">
        <f t="shared" si="17"/>
        <v>8.4805653710247356E-2</v>
      </c>
      <c r="D54">
        <f t="shared" si="17"/>
        <v>8.5902320748181507E-2</v>
      </c>
      <c r="E54">
        <f t="shared" si="17"/>
        <v>8.7405368203716444E-2</v>
      </c>
      <c r="F54">
        <f t="shared" si="17"/>
        <v>7.2412575061815615E-2</v>
      </c>
      <c r="G54">
        <f t="shared" si="17"/>
        <v>5.6603773584905662E-2</v>
      </c>
      <c r="H54">
        <f t="shared" si="17"/>
        <v>7.7944774554351628E-2</v>
      </c>
      <c r="I54">
        <f t="shared" si="17"/>
        <v>9.7774780849629137E-2</v>
      </c>
      <c r="J54">
        <f t="shared" si="17"/>
        <v>7.5185643564356433E-2</v>
      </c>
      <c r="K54">
        <f t="shared" si="17"/>
        <v>7.6590672030993887E-2</v>
      </c>
      <c r="L54">
        <f t="shared" si="17"/>
        <v>7.7895947111238859E-2</v>
      </c>
      <c r="M54">
        <f t="shared" si="17"/>
        <v>7.3191733639494827E-2</v>
      </c>
      <c r="N54">
        <f t="shared" si="17"/>
        <v>8.7714366038796746E-2</v>
      </c>
      <c r="O54">
        <f t="shared" si="17"/>
        <v>6.6350710900473939E-2</v>
      </c>
      <c r="P54">
        <f t="shared" si="17"/>
        <v>5.5588063194850788E-2</v>
      </c>
      <c r="Q54">
        <f t="shared" si="17"/>
        <v>7.9181494661921703E-2</v>
      </c>
      <c r="R54">
        <f t="shared" si="17"/>
        <v>8.7431693989071038E-2</v>
      </c>
      <c r="S54">
        <f t="shared" si="17"/>
        <v>7.6184577268504181E-2</v>
      </c>
      <c r="T54">
        <f t="shared" si="17"/>
        <v>6.6057210262459448E-2</v>
      </c>
      <c r="U54">
        <f t="shared" si="17"/>
        <v>7.0223025919228452E-2</v>
      </c>
      <c r="V54">
        <f t="shared" si="17"/>
        <v>7.9157357165655917E-2</v>
      </c>
      <c r="W54">
        <f t="shared" si="17"/>
        <v>9.2150170648464161E-2</v>
      </c>
      <c r="X54">
        <f t="shared" si="17"/>
        <v>7.2045251562965165E-2</v>
      </c>
      <c r="Y54">
        <f t="shared" si="17"/>
        <v>6.3594470046082943E-2</v>
      </c>
      <c r="Z54">
        <f t="shared" si="17"/>
        <v>6.837862048372649E-2</v>
      </c>
      <c r="AA54">
        <f t="shared" si="17"/>
        <v>8.6811857229280101E-2</v>
      </c>
      <c r="AB54">
        <f t="shared" si="17"/>
        <v>7.0213424064336533E-2</v>
      </c>
      <c r="AC54">
        <f t="shared" si="17"/>
        <v>7.8203517587939697E-2</v>
      </c>
      <c r="AD54">
        <f t="shared" si="17"/>
        <v>7.2613458528951486E-2</v>
      </c>
      <c r="AE54">
        <f t="shared" si="17"/>
        <v>6.3389391979301421E-2</v>
      </c>
      <c r="AF54">
        <f t="shared" si="17"/>
        <v>7.1835443037974678E-2</v>
      </c>
      <c r="AG54">
        <f t="shared" si="17"/>
        <v>7.0547295159759577E-2</v>
      </c>
      <c r="AH54">
        <f t="shared" si="17"/>
        <v>6.7913385826771658E-2</v>
      </c>
      <c r="AI54">
        <f t="shared" si="17"/>
        <v>6.3768115942028983E-2</v>
      </c>
      <c r="AJ54">
        <f t="shared" si="17"/>
        <v>6.4984445212582093E-2</v>
      </c>
      <c r="AK54">
        <f t="shared" si="17"/>
        <v>6.7760342368045651E-2</v>
      </c>
      <c r="AL54">
        <f t="shared" si="17"/>
        <v>6.7964872088583428E-2</v>
      </c>
      <c r="AM54">
        <f t="shared" si="17"/>
        <v>6.8103116583301274E-2</v>
      </c>
      <c r="AN54">
        <f t="shared" si="17"/>
        <v>8.3534136546184745E-2</v>
      </c>
      <c r="AO54">
        <f t="shared" si="17"/>
        <v>5.2299703264094957E-2</v>
      </c>
      <c r="AP54">
        <f t="shared" si="17"/>
        <v>6.3781321184510256E-2</v>
      </c>
      <c r="AQ54">
        <f t="shared" si="17"/>
        <v>6.0161974546856921E-2</v>
      </c>
      <c r="AR54">
        <f t="shared" si="17"/>
        <v>7.4615080931701536E-2</v>
      </c>
      <c r="AS54">
        <f t="shared" si="17"/>
        <v>6.6459385930820056E-2</v>
      </c>
      <c r="AT54">
        <f t="shared" si="17"/>
        <v>4.9777117384843979E-2</v>
      </c>
      <c r="AU54">
        <f t="shared" si="17"/>
        <v>4.4983934309175293E-2</v>
      </c>
      <c r="AV54">
        <f t="shared" si="17"/>
        <v>3.4144569560479475E-2</v>
      </c>
      <c r="AW54">
        <f t="shared" si="17"/>
        <v>3.2248062015503877E-2</v>
      </c>
      <c r="AX54">
        <f t="shared" si="17"/>
        <v>2.9394121175764846E-2</v>
      </c>
      <c r="AY54">
        <f t="shared" si="17"/>
        <v>2.5898078529657476E-2</v>
      </c>
      <c r="AZ54" s="10">
        <f t="shared" si="17"/>
        <v>3.4677990092002828E-2</v>
      </c>
      <c r="BA54" s="10">
        <f t="shared" si="17"/>
        <v>2.972560975609756E-2</v>
      </c>
      <c r="BB54" s="10">
        <f t="shared" si="17"/>
        <v>4.3478260869565216E-2</v>
      </c>
      <c r="BC54" s="10">
        <f t="shared" si="17"/>
        <v>4.647731464404279E-2</v>
      </c>
      <c r="BD54" s="10">
        <f t="shared" si="17"/>
        <v>4.4821731748726654E-2</v>
      </c>
      <c r="BE54">
        <f t="shared" si="17"/>
        <v>4.6257517432315307E-2</v>
      </c>
      <c r="BF54">
        <f t="shared" si="17"/>
        <v>4.59160092741559E-2</v>
      </c>
      <c r="BG54">
        <f t="shared" si="17"/>
        <v>5.0200212984734108E-2</v>
      </c>
      <c r="BH54">
        <f t="shared" si="17"/>
        <v>6.0128378475536585E-2</v>
      </c>
      <c r="BI54">
        <f t="shared" si="17"/>
        <v>5.9146028666274844E-2</v>
      </c>
      <c r="BJ54">
        <f t="shared" si="17"/>
        <v>5.533000270022808E-2</v>
      </c>
      <c r="BK54">
        <f t="shared" si="17"/>
        <v>4.1104058214692062E-2</v>
      </c>
      <c r="BL54">
        <f t="shared" si="17"/>
        <v>4.6758804769043642E-2</v>
      </c>
      <c r="BM54">
        <f t="shared" si="17"/>
        <v>5.112753648353964E-2</v>
      </c>
      <c r="BN54">
        <f t="shared" si="18"/>
        <v>4.3898514459846653E-2</v>
      </c>
      <c r="BO54">
        <f t="shared" si="18"/>
        <v>4.6798288906249735E-2</v>
      </c>
      <c r="BP54">
        <f t="shared" si="18"/>
        <v>4.6479321441153923E-2</v>
      </c>
      <c r="BQ54">
        <f t="shared" si="18"/>
        <v>5.8917305614261055E-2</v>
      </c>
      <c r="BR54">
        <f t="shared" si="18"/>
        <v>6.2153281399557114E-2</v>
      </c>
      <c r="BS54">
        <f t="shared" si="18"/>
        <v>5.4207565970500284E-2</v>
      </c>
      <c r="BT54">
        <f t="shared" si="18"/>
        <v>4.6875E-2</v>
      </c>
      <c r="BU54">
        <f t="shared" si="18"/>
        <v>4.5768025078369905E-2</v>
      </c>
      <c r="BV54">
        <f t="shared" si="18"/>
        <v>4.6587537091988131E-2</v>
      </c>
      <c r="BW54">
        <f t="shared" si="18"/>
        <v>4.2792792792792793E-2</v>
      </c>
      <c r="BX54">
        <f t="shared" si="18"/>
        <v>3.916184971098266E-2</v>
      </c>
      <c r="BY54">
        <f t="shared" si="18"/>
        <v>4.8571428571428571E-2</v>
      </c>
      <c r="BZ54">
        <f t="shared" si="18"/>
        <v>4.1791044776119404E-2</v>
      </c>
      <c r="CA54">
        <f t="shared" si="18"/>
        <v>5.5518945634266889E-2</v>
      </c>
      <c r="CB54">
        <f t="shared" si="18"/>
        <v>4.3398736282008646E-2</v>
      </c>
      <c r="CC54">
        <f t="shared" si="18"/>
        <v>3.6968264686022954E-2</v>
      </c>
      <c r="CD54">
        <f t="shared" si="18"/>
        <v>3.8624511082138199E-2</v>
      </c>
      <c r="CE54">
        <f t="shared" si="18"/>
        <v>3.3456108041743399E-2</v>
      </c>
      <c r="CF54">
        <f t="shared" si="18"/>
        <v>3.1007751937984496E-2</v>
      </c>
      <c r="CG54">
        <f t="shared" si="18"/>
        <v>3.0279503105590064E-2</v>
      </c>
      <c r="CH54">
        <f t="shared" si="18"/>
        <v>2.8171135884302499E-2</v>
      </c>
      <c r="CI54">
        <f t="shared" si="18"/>
        <v>2.8354764259808769E-2</v>
      </c>
      <c r="CJ54">
        <f t="shared" si="18"/>
        <v>2.8490028490028491E-2</v>
      </c>
      <c r="CK54">
        <f t="shared" si="18"/>
        <v>2.5538066174108576E-2</v>
      </c>
      <c r="CL54">
        <f t="shared" si="18"/>
        <v>2.0805666223992918E-2</v>
      </c>
      <c r="CM54">
        <f t="shared" si="18"/>
        <v>2.164762477450391E-2</v>
      </c>
      <c r="CN54">
        <f t="shared" si="18"/>
        <v>1.925780151813326E-2</v>
      </c>
      <c r="CO54">
        <f t="shared" si="18"/>
        <v>2.1570066030814381E-2</v>
      </c>
      <c r="CP54">
        <f t="shared" si="18"/>
        <v>1.8998029833943147E-2</v>
      </c>
      <c r="CQ54">
        <f t="shared" si="18"/>
        <v>1.923587158397453E-2</v>
      </c>
      <c r="CR54">
        <f t="shared" si="18"/>
        <v>1.8620508785733018E-2</v>
      </c>
      <c r="CS54">
        <f t="shared" si="18"/>
        <v>1.6145970070884745E-2</v>
      </c>
      <c r="CT54">
        <f>+CT6/CS28</f>
        <v>1.6014702021527959E-2</v>
      </c>
      <c r="CU54">
        <f t="shared" si="19"/>
        <v>1.4350545811357782E-2</v>
      </c>
      <c r="CV54">
        <f t="shared" si="19"/>
        <v>1.540436456996149E-2</v>
      </c>
      <c r="CW54">
        <f t="shared" si="19"/>
        <v>1.3417721518987341E-2</v>
      </c>
      <c r="CX54">
        <f t="shared" si="19"/>
        <v>1.1738539478561721E-2</v>
      </c>
      <c r="CY54">
        <f t="shared" si="19"/>
        <v>9.7160883280757102E-3</v>
      </c>
      <c r="CZ54">
        <f t="shared" si="19"/>
        <v>1.3426156141223273E-2</v>
      </c>
      <c r="DA54">
        <f t="shared" si="19"/>
        <v>1.3496307613954673E-2</v>
      </c>
      <c r="DB54">
        <f t="shared" si="19"/>
        <v>1.1286089238845144E-2</v>
      </c>
      <c r="DC54">
        <f t="shared" si="19"/>
        <v>1.2322015334063527E-2</v>
      </c>
      <c r="DD54">
        <f t="shared" si="19"/>
        <v>9.1496232508073202E-3</v>
      </c>
      <c r="DE54">
        <f t="shared" si="19"/>
        <v>1.3898540653231411E-2</v>
      </c>
      <c r="DF54">
        <f t="shared" si="19"/>
        <v>1.1430990685859441E-2</v>
      </c>
      <c r="DG54">
        <f t="shared" si="19"/>
        <v>8.7847730600292828E-3</v>
      </c>
      <c r="DH54">
        <f t="shared" si="19"/>
        <v>5.7504312823461762E-3</v>
      </c>
      <c r="DI54">
        <f t="shared" si="19"/>
        <v>9.1501240694789078E-3</v>
      </c>
      <c r="DJ54">
        <f t="shared" si="19"/>
        <v>1.1676646706586826E-2</v>
      </c>
      <c r="DK54">
        <f t="shared" si="19"/>
        <v>9.7597597597597601E-3</v>
      </c>
      <c r="DL54">
        <f t="shared" si="19"/>
        <v>8.9311859443631045E-3</v>
      </c>
      <c r="DM54">
        <f t="shared" si="19"/>
        <v>7.2321832153081208E-3</v>
      </c>
      <c r="DN54">
        <f t="shared" si="19"/>
        <v>6.4635272391505077E-3</v>
      </c>
      <c r="DO54">
        <f t="shared" si="19"/>
        <v>4.608294930875576E-3</v>
      </c>
      <c r="DP54">
        <f t="shared" si="19"/>
        <v>6.5930149679258735E-3</v>
      </c>
      <c r="DQ54">
        <f t="shared" si="19"/>
        <v>6.1943476577622919E-3</v>
      </c>
      <c r="DR54">
        <f t="shared" si="19"/>
        <v>7.9797586609575717E-3</v>
      </c>
      <c r="DS54">
        <f t="shared" si="19"/>
        <v>6.383855024711697E-3</v>
      </c>
      <c r="DU54">
        <f t="shared" si="20"/>
        <v>8.5445316731060424E-3</v>
      </c>
    </row>
    <row r="55" spans="1:125" x14ac:dyDescent="0.35">
      <c r="A55" t="s">
        <v>5</v>
      </c>
      <c r="B55">
        <f t="shared" si="17"/>
        <v>7.9315707620528766E-2</v>
      </c>
      <c r="C55">
        <f t="shared" si="17"/>
        <v>9.1127098321342928E-2</v>
      </c>
      <c r="D55">
        <f t="shared" si="17"/>
        <v>8.7242798353909468E-2</v>
      </c>
      <c r="E55">
        <f t="shared" si="17"/>
        <v>9.1342335186656076E-2</v>
      </c>
      <c r="F55">
        <f t="shared" si="17"/>
        <v>7.2401195616074387E-2</v>
      </c>
      <c r="G55">
        <f t="shared" si="17"/>
        <v>5.878995433789954E-2</v>
      </c>
      <c r="H55">
        <f t="shared" si="17"/>
        <v>7.2477650063856966E-2</v>
      </c>
      <c r="I55">
        <f t="shared" si="17"/>
        <v>8.9855072463768115E-2</v>
      </c>
      <c r="J55">
        <f t="shared" si="17"/>
        <v>0.1164337990685296</v>
      </c>
      <c r="K55">
        <f t="shared" si="17"/>
        <v>0.12181303116147309</v>
      </c>
      <c r="L55">
        <f t="shared" si="17"/>
        <v>0.1279333838001514</v>
      </c>
      <c r="M55">
        <f t="shared" si="17"/>
        <v>0.11145320197044335</v>
      </c>
      <c r="N55">
        <f t="shared" si="17"/>
        <v>0.11957168352171327</v>
      </c>
      <c r="O55">
        <f t="shared" si="17"/>
        <v>0.10927717700626068</v>
      </c>
      <c r="P55">
        <f t="shared" si="17"/>
        <v>0.10344827586206896</v>
      </c>
      <c r="Q55">
        <f t="shared" si="17"/>
        <v>0.12406947890818859</v>
      </c>
      <c r="R55">
        <f t="shared" si="17"/>
        <v>0.13595166163141995</v>
      </c>
      <c r="S55">
        <f t="shared" si="17"/>
        <v>0.14039262343842951</v>
      </c>
      <c r="T55">
        <f t="shared" si="17"/>
        <v>0.16586826347305389</v>
      </c>
      <c r="U55">
        <f t="shared" si="17"/>
        <v>0.11672278338945005</v>
      </c>
      <c r="V55">
        <f t="shared" si="17"/>
        <v>0.11105121293800539</v>
      </c>
      <c r="W55">
        <f t="shared" si="17"/>
        <v>0.1118421052631579</v>
      </c>
      <c r="X55">
        <f t="shared" si="17"/>
        <v>0.10262675626145389</v>
      </c>
      <c r="Y55">
        <f t="shared" si="17"/>
        <v>0.15439856373429084</v>
      </c>
      <c r="Z55">
        <f t="shared" si="17"/>
        <v>0.10334703464474457</v>
      </c>
      <c r="AA55">
        <f t="shared" si="17"/>
        <v>0.1361111111111111</v>
      </c>
      <c r="AB55">
        <f t="shared" si="17"/>
        <v>7.8125E-2</v>
      </c>
      <c r="AC55">
        <f t="shared" si="17"/>
        <v>0.10409745293466224</v>
      </c>
      <c r="AD55">
        <f t="shared" si="17"/>
        <v>0.11205523101433883</v>
      </c>
      <c r="AE55">
        <f t="shared" si="17"/>
        <v>0.13597430406852248</v>
      </c>
      <c r="AF55">
        <f t="shared" si="17"/>
        <v>0.10881104033970276</v>
      </c>
      <c r="AG55">
        <f t="shared" si="17"/>
        <v>0.14721627408993576</v>
      </c>
      <c r="AH55">
        <f t="shared" si="17"/>
        <v>0.11496149614961496</v>
      </c>
      <c r="AI55">
        <f t="shared" si="17"/>
        <v>0.13810888252148998</v>
      </c>
      <c r="AJ55">
        <f t="shared" si="17"/>
        <v>0.12537673297166968</v>
      </c>
      <c r="AK55">
        <f t="shared" si="17"/>
        <v>0.16970802919708028</v>
      </c>
      <c r="AL55">
        <f t="shared" si="17"/>
        <v>0.11767986614612382</v>
      </c>
      <c r="AM55">
        <f t="shared" si="17"/>
        <v>0.1379495437466452</v>
      </c>
      <c r="AN55">
        <f t="shared" si="17"/>
        <v>0.13520822065981611</v>
      </c>
      <c r="AO55">
        <f t="shared" si="17"/>
        <v>0.11802575107296137</v>
      </c>
      <c r="AP55">
        <f t="shared" si="17"/>
        <v>0.1152099886492622</v>
      </c>
      <c r="AQ55">
        <f t="shared" si="17"/>
        <v>0.10457856399583768</v>
      </c>
      <c r="AR55">
        <f t="shared" si="17"/>
        <v>0.13890489913544668</v>
      </c>
      <c r="AS55">
        <f t="shared" si="17"/>
        <v>0.1270820481184454</v>
      </c>
      <c r="AT55">
        <f t="shared" si="17"/>
        <v>0.10038058991436727</v>
      </c>
      <c r="AU55">
        <f t="shared" si="17"/>
        <v>6.4733915806195391E-2</v>
      </c>
      <c r="AV55">
        <f t="shared" si="17"/>
        <v>4.5606229143492771E-2</v>
      </c>
      <c r="AW55">
        <f t="shared" si="17"/>
        <v>6.1224489795918366E-2</v>
      </c>
      <c r="AX55">
        <f t="shared" si="17"/>
        <v>4.2947056645686786E-2</v>
      </c>
      <c r="AY55">
        <f t="shared" si="17"/>
        <v>2.8639618138424822E-2</v>
      </c>
      <c r="AZ55" s="10">
        <f t="shared" si="17"/>
        <v>7.3918269230769232E-2</v>
      </c>
      <c r="BA55" s="10">
        <f t="shared" si="17"/>
        <v>7.303754266211604E-2</v>
      </c>
      <c r="BB55" s="10">
        <f t="shared" si="17"/>
        <v>7.2083078802687842E-2</v>
      </c>
      <c r="BC55" s="10">
        <f t="shared" si="17"/>
        <v>9.8001289490651192E-2</v>
      </c>
      <c r="BD55" s="10">
        <f t="shared" si="17"/>
        <v>6.9548872180451124E-2</v>
      </c>
      <c r="BE55">
        <f t="shared" si="17"/>
        <v>8.6972411297628366E-2</v>
      </c>
      <c r="BF55">
        <f t="shared" si="17"/>
        <v>7.4528985221133853E-2</v>
      </c>
      <c r="BG55">
        <f t="shared" si="17"/>
        <v>9.9543705757179912E-2</v>
      </c>
      <c r="BH55">
        <f t="shared" si="17"/>
        <v>7.0237743632115171E-2</v>
      </c>
      <c r="BI55">
        <f t="shared" si="17"/>
        <v>7.50427840267269E-2</v>
      </c>
      <c r="BJ55">
        <f t="shared" si="17"/>
        <v>6.726106358661621E-2</v>
      </c>
      <c r="BK55">
        <f t="shared" si="17"/>
        <v>6.4327718294276748E-2</v>
      </c>
      <c r="BL55">
        <f t="shared" si="17"/>
        <v>6.6705687253365356E-2</v>
      </c>
      <c r="BM55">
        <f t="shared" ref="BM55" si="21">+BM7/BM29</f>
        <v>5.9756011017213777E-2</v>
      </c>
      <c r="BN55">
        <f t="shared" si="18"/>
        <v>6.1548080618582815E-2</v>
      </c>
      <c r="BO55">
        <f t="shared" si="18"/>
        <v>4.5055124064620186E-2</v>
      </c>
      <c r="BP55">
        <f t="shared" si="18"/>
        <v>3.9016881236744197E-2</v>
      </c>
      <c r="BQ55">
        <f t="shared" si="18"/>
        <v>4.989761984366578E-2</v>
      </c>
      <c r="BR55">
        <f t="shared" si="18"/>
        <v>6.114611528127268E-2</v>
      </c>
      <c r="BS55">
        <f t="shared" si="18"/>
        <v>5.2082803879621949E-2</v>
      </c>
      <c r="BT55">
        <f t="shared" si="18"/>
        <v>4.3169398907103827E-2</v>
      </c>
      <c r="BU55">
        <f t="shared" si="18"/>
        <v>0.05</v>
      </c>
      <c r="BV55">
        <f t="shared" si="18"/>
        <v>6.1874999999999999E-2</v>
      </c>
      <c r="BW55">
        <f t="shared" si="18"/>
        <v>5.7558139534883722E-2</v>
      </c>
      <c r="BX55">
        <f t="shared" si="18"/>
        <v>4.3113772455089822E-2</v>
      </c>
      <c r="BY55">
        <f t="shared" si="18"/>
        <v>5.3072625698324022E-2</v>
      </c>
      <c r="BZ55">
        <f t="shared" si="18"/>
        <v>5.5801104972375691E-2</v>
      </c>
      <c r="CA55">
        <f t="shared" si="18"/>
        <v>4.3890865954922892E-2</v>
      </c>
      <c r="CB55">
        <f t="shared" si="18"/>
        <v>3.860294117647059E-2</v>
      </c>
      <c r="CC55">
        <f t="shared" si="18"/>
        <v>4.1244083840432724E-2</v>
      </c>
      <c r="CD55">
        <f t="shared" si="18"/>
        <v>4.1666666666666664E-2</v>
      </c>
      <c r="CE55">
        <f t="shared" si="18"/>
        <v>2.8005464480874317E-2</v>
      </c>
      <c r="CF55">
        <f t="shared" si="18"/>
        <v>2.1834061135371178E-2</v>
      </c>
      <c r="CG55">
        <f t="shared" si="18"/>
        <v>2.3305084745762712E-2</v>
      </c>
      <c r="CH55">
        <f t="shared" si="18"/>
        <v>4.3656207366984993E-2</v>
      </c>
      <c r="CI55">
        <f t="shared" si="18"/>
        <v>2.1711366538952746E-2</v>
      </c>
      <c r="CJ55">
        <f t="shared" si="18"/>
        <v>2.9850746268656716E-2</v>
      </c>
      <c r="CK55">
        <f t="shared" si="18"/>
        <v>2.2889842632331903E-2</v>
      </c>
      <c r="CL55">
        <f t="shared" si="18"/>
        <v>3.2383419689119168E-2</v>
      </c>
      <c r="CM55">
        <f t="shared" si="18"/>
        <v>1.8925518925518924E-2</v>
      </c>
      <c r="CN55">
        <f t="shared" si="18"/>
        <v>2.5000000000000001E-2</v>
      </c>
      <c r="CO55">
        <f t="shared" si="18"/>
        <v>2.6871401151631478E-2</v>
      </c>
      <c r="CP55">
        <f t="shared" si="18"/>
        <v>2.0547945205479451E-2</v>
      </c>
      <c r="CQ55">
        <f t="shared" si="18"/>
        <v>1.8833535844471446E-2</v>
      </c>
      <c r="CR55">
        <f t="shared" si="18"/>
        <v>1.8202502844141068E-2</v>
      </c>
      <c r="CS55">
        <f t="shared" si="18"/>
        <v>2.1764032073310423E-2</v>
      </c>
      <c r="CT55">
        <f t="shared" ref="CT55:CT70" si="22">+CT7/CS29</f>
        <v>1.8900343642611683E-2</v>
      </c>
      <c r="CU55">
        <f t="shared" si="19"/>
        <v>1.5957446808510637E-2</v>
      </c>
      <c r="CV55">
        <f t="shared" si="19"/>
        <v>1.9127316198445904E-2</v>
      </c>
      <c r="CW55">
        <f t="shared" si="19"/>
        <v>1.4267990074441687E-2</v>
      </c>
      <c r="CX55">
        <f t="shared" si="19"/>
        <v>1.0759493670886076E-2</v>
      </c>
      <c r="CY55">
        <f t="shared" si="19"/>
        <v>7.3284477015323115E-3</v>
      </c>
      <c r="CZ55">
        <f t="shared" si="19"/>
        <v>1.7173051519154558E-2</v>
      </c>
      <c r="DA55">
        <f t="shared" si="19"/>
        <v>1.8975332068311195E-2</v>
      </c>
      <c r="DB55">
        <f t="shared" si="19"/>
        <v>2.1739130434782608E-2</v>
      </c>
      <c r="DC55">
        <f t="shared" si="19"/>
        <v>2.3151605675877519E-2</v>
      </c>
      <c r="DD55">
        <f t="shared" si="19"/>
        <v>1.260835303388495E-2</v>
      </c>
      <c r="DE55">
        <f t="shared" si="19"/>
        <v>2.0249221183800622E-2</v>
      </c>
      <c r="DF55">
        <f t="shared" si="19"/>
        <v>1.4210919970082274E-2</v>
      </c>
      <c r="DG55">
        <f t="shared" si="19"/>
        <v>1.2562814070351759E-2</v>
      </c>
      <c r="DH55">
        <f t="shared" si="19"/>
        <v>7.311129163281885E-3</v>
      </c>
      <c r="DI55">
        <f t="shared" si="19"/>
        <v>1.2260536398467433E-2</v>
      </c>
      <c r="DJ55">
        <f t="shared" si="19"/>
        <v>1.2412723041117145E-2</v>
      </c>
      <c r="DK55">
        <f t="shared" si="19"/>
        <v>6.5040650406504065E-3</v>
      </c>
      <c r="DL55">
        <f t="shared" si="19"/>
        <v>9.9693251533742328E-3</v>
      </c>
      <c r="DM55">
        <f t="shared" si="19"/>
        <v>1.0570824524312896E-2</v>
      </c>
      <c r="DN55">
        <f t="shared" si="19"/>
        <v>9.0840272520817562E-3</v>
      </c>
      <c r="DO55">
        <f t="shared" si="19"/>
        <v>1.0186757215619695E-2</v>
      </c>
      <c r="DP55">
        <f t="shared" si="19"/>
        <v>1.0300429184549357E-2</v>
      </c>
      <c r="DQ55">
        <f t="shared" si="19"/>
        <v>7.4211502782931356E-3</v>
      </c>
      <c r="DR55">
        <f t="shared" si="19"/>
        <v>1.9029495718363464E-3</v>
      </c>
      <c r="DS55">
        <f t="shared" si="19"/>
        <v>9.1556459816887082E-3</v>
      </c>
      <c r="DU55">
        <f t="shared" si="20"/>
        <v>1.1118019679276251E-2</v>
      </c>
    </row>
    <row r="56" spans="1:125" x14ac:dyDescent="0.35">
      <c r="A56" t="s">
        <v>6</v>
      </c>
      <c r="B56">
        <f t="shared" ref="B56:BM59" si="23">+B8/B30</f>
        <v>9.2975206611570244E-2</v>
      </c>
      <c r="C56">
        <f t="shared" si="23"/>
        <v>9.5437860513896175E-2</v>
      </c>
      <c r="D56">
        <f t="shared" si="23"/>
        <v>8.4611578426521519E-2</v>
      </c>
      <c r="E56">
        <f t="shared" si="23"/>
        <v>0.10425844346549193</v>
      </c>
      <c r="F56">
        <f t="shared" si="23"/>
        <v>9.3282636248415721E-2</v>
      </c>
      <c r="G56">
        <f t="shared" si="23"/>
        <v>8.1493165089379607E-2</v>
      </c>
      <c r="H56">
        <f t="shared" si="23"/>
        <v>8.4144818976279651E-2</v>
      </c>
      <c r="I56">
        <f t="shared" si="23"/>
        <v>8.6543033761293395E-2</v>
      </c>
      <c r="J56">
        <f t="shared" si="23"/>
        <v>8.5941148995796357E-2</v>
      </c>
      <c r="K56">
        <f t="shared" si="23"/>
        <v>9.650507328072154E-2</v>
      </c>
      <c r="L56">
        <f t="shared" si="23"/>
        <v>0.10636442894507411</v>
      </c>
      <c r="M56">
        <f t="shared" si="23"/>
        <v>9.6385542168674704E-2</v>
      </c>
      <c r="N56">
        <f t="shared" si="23"/>
        <v>9.1452991452991447E-2</v>
      </c>
      <c r="O56">
        <f t="shared" si="23"/>
        <v>7.2488342518016113E-2</v>
      </c>
      <c r="P56">
        <f t="shared" si="23"/>
        <v>7.5744680851063825E-2</v>
      </c>
      <c r="Q56">
        <f t="shared" si="23"/>
        <v>0.10519423832387603</v>
      </c>
      <c r="R56">
        <f t="shared" si="23"/>
        <v>9.6525096525096526E-2</v>
      </c>
      <c r="S56">
        <f t="shared" si="23"/>
        <v>8.9537712895377125E-2</v>
      </c>
      <c r="T56">
        <f t="shared" si="23"/>
        <v>9.8148148148148151E-2</v>
      </c>
      <c r="U56">
        <f t="shared" si="23"/>
        <v>6.8469254252071524E-2</v>
      </c>
      <c r="V56">
        <f t="shared" si="23"/>
        <v>8.6996336996336993E-2</v>
      </c>
      <c r="W56">
        <f t="shared" si="23"/>
        <v>0.10022371364653244</v>
      </c>
      <c r="X56">
        <f t="shared" si="23"/>
        <v>7.7722548576592859E-2</v>
      </c>
      <c r="Y56">
        <f t="shared" si="23"/>
        <v>8.1892629663330302E-2</v>
      </c>
      <c r="Z56">
        <f t="shared" si="23"/>
        <v>7.3126962763571113E-2</v>
      </c>
      <c r="AA56">
        <f t="shared" si="23"/>
        <v>0.11007957559681697</v>
      </c>
      <c r="AB56">
        <f t="shared" si="23"/>
        <v>7.8007933010136629E-2</v>
      </c>
      <c r="AC56">
        <f t="shared" si="23"/>
        <v>8.3040421792618627E-2</v>
      </c>
      <c r="AD56">
        <f t="shared" si="23"/>
        <v>8.8869715271786026E-2</v>
      </c>
      <c r="AE56">
        <f t="shared" si="23"/>
        <v>8.2903780068728519E-2</v>
      </c>
      <c r="AF56">
        <f t="shared" si="23"/>
        <v>8.9270386266094418E-2</v>
      </c>
      <c r="AG56">
        <f t="shared" si="23"/>
        <v>8.3976006855184235E-2</v>
      </c>
      <c r="AH56">
        <f t="shared" si="23"/>
        <v>6.8401174989509025E-2</v>
      </c>
      <c r="AI56">
        <f t="shared" si="23"/>
        <v>6.9391230310770546E-2</v>
      </c>
      <c r="AJ56">
        <f t="shared" si="23"/>
        <v>7.7582318448353629E-2</v>
      </c>
      <c r="AK56">
        <f t="shared" si="23"/>
        <v>8.8169140800719747E-2</v>
      </c>
      <c r="AL56">
        <f t="shared" si="23"/>
        <v>0.10584291187739464</v>
      </c>
      <c r="AM56">
        <f t="shared" si="23"/>
        <v>7.3134328358208961E-2</v>
      </c>
      <c r="AN56">
        <f t="shared" si="23"/>
        <v>9.3191694833413816E-2</v>
      </c>
      <c r="AO56">
        <f t="shared" si="23"/>
        <v>6.2354583527221966E-2</v>
      </c>
      <c r="AP56">
        <f t="shared" si="23"/>
        <v>9.3901258470474341E-2</v>
      </c>
      <c r="AQ56">
        <f t="shared" si="23"/>
        <v>6.541176470588235E-2</v>
      </c>
      <c r="AR56">
        <f t="shared" si="23"/>
        <v>7.3782587309394979E-2</v>
      </c>
      <c r="AS56">
        <f t="shared" si="23"/>
        <v>6.07429718875502E-2</v>
      </c>
      <c r="AT56">
        <f t="shared" si="23"/>
        <v>6.3718497384688544E-2</v>
      </c>
      <c r="AU56">
        <f t="shared" si="23"/>
        <v>4.2727272727272725E-2</v>
      </c>
      <c r="AV56">
        <f t="shared" si="23"/>
        <v>3.925148334094021E-2</v>
      </c>
      <c r="AW56">
        <f t="shared" si="23"/>
        <v>4.9219687875150062E-2</v>
      </c>
      <c r="AX56">
        <f t="shared" si="23"/>
        <v>3.7170263788968823E-2</v>
      </c>
      <c r="AY56">
        <f t="shared" si="23"/>
        <v>3.2628846866889133E-2</v>
      </c>
      <c r="AZ56" s="10">
        <f t="shared" si="23"/>
        <v>4.7507055503292567E-2</v>
      </c>
      <c r="BA56" s="10">
        <f t="shared" si="23"/>
        <v>4.5965270684371805E-2</v>
      </c>
      <c r="BB56" s="10">
        <f t="shared" si="23"/>
        <v>4.2063094641962943E-2</v>
      </c>
      <c r="BC56" s="10">
        <f t="shared" si="23"/>
        <v>4.3837029396596186E-2</v>
      </c>
      <c r="BD56" s="10">
        <f t="shared" si="23"/>
        <v>3.1818181818181815E-2</v>
      </c>
      <c r="BE56">
        <f t="shared" si="23"/>
        <v>4.6280341829659156E-2</v>
      </c>
      <c r="BF56">
        <f t="shared" si="23"/>
        <v>4.1587301790199913E-2</v>
      </c>
      <c r="BG56">
        <f t="shared" si="23"/>
        <v>4.4416729688467688E-2</v>
      </c>
      <c r="BH56">
        <f t="shared" si="23"/>
        <v>4.0760954549559129E-2</v>
      </c>
      <c r="BI56">
        <f t="shared" si="23"/>
        <v>5.7433119217379258E-2</v>
      </c>
      <c r="BJ56">
        <f t="shared" si="23"/>
        <v>4.9314920274112439E-2</v>
      </c>
      <c r="BK56">
        <f t="shared" si="23"/>
        <v>4.5189765078248581E-2</v>
      </c>
      <c r="BL56">
        <f t="shared" si="23"/>
        <v>5.0392209621722549E-2</v>
      </c>
      <c r="BM56">
        <f t="shared" si="23"/>
        <v>3.4598593710077293E-2</v>
      </c>
      <c r="BN56">
        <f t="shared" si="18"/>
        <v>4.9507864182988526E-2</v>
      </c>
      <c r="BO56">
        <f t="shared" si="18"/>
        <v>4.7377704592737123E-2</v>
      </c>
      <c r="BP56">
        <f t="shared" si="18"/>
        <v>3.5151569521174417E-2</v>
      </c>
      <c r="BQ56">
        <f t="shared" si="18"/>
        <v>4.3645268968077501E-2</v>
      </c>
      <c r="BR56">
        <f t="shared" si="18"/>
        <v>4.3949863459761353E-2</v>
      </c>
      <c r="BS56">
        <f t="shared" si="18"/>
        <v>4.06826972221574E-2</v>
      </c>
      <c r="BT56">
        <f t="shared" si="18"/>
        <v>3.7440758293838861E-2</v>
      </c>
      <c r="BU56">
        <f t="shared" si="18"/>
        <v>3.2380952380952378E-2</v>
      </c>
      <c r="BV56">
        <f t="shared" si="18"/>
        <v>2.6470588235294117E-2</v>
      </c>
      <c r="BW56">
        <f t="shared" si="18"/>
        <v>2.8571428571428571E-2</v>
      </c>
      <c r="BX56">
        <f t="shared" si="18"/>
        <v>3.2828282828282832E-2</v>
      </c>
      <c r="BY56">
        <f t="shared" si="18"/>
        <v>2.8571428571428571E-2</v>
      </c>
      <c r="BZ56">
        <f t="shared" si="18"/>
        <v>3.2828282828282832E-2</v>
      </c>
      <c r="CA56">
        <f t="shared" si="18"/>
        <v>3.7679722359940507E-2</v>
      </c>
      <c r="CB56">
        <f t="shared" si="18"/>
        <v>3.1316348195329087E-2</v>
      </c>
      <c r="CC56">
        <f t="shared" si="18"/>
        <v>3.2409827496079457E-2</v>
      </c>
      <c r="CD56">
        <f t="shared" si="18"/>
        <v>2.3796347537354733E-2</v>
      </c>
      <c r="CE56">
        <f t="shared" si="18"/>
        <v>2.365930599369085E-2</v>
      </c>
      <c r="CF56">
        <f t="shared" si="18"/>
        <v>1.9250780437044746E-2</v>
      </c>
      <c r="CG56">
        <f t="shared" si="18"/>
        <v>2.4245689655172414E-2</v>
      </c>
      <c r="CH56">
        <f t="shared" si="18"/>
        <v>2.1112255406797117E-2</v>
      </c>
      <c r="CI56">
        <f t="shared" si="18"/>
        <v>2.3406374501992032E-2</v>
      </c>
      <c r="CJ56">
        <f t="shared" si="18"/>
        <v>1.8564977420973405E-2</v>
      </c>
      <c r="CK56">
        <f t="shared" si="18"/>
        <v>1.6798418972332016E-2</v>
      </c>
      <c r="CL56">
        <f t="shared" si="18"/>
        <v>1.5562248995983935E-2</v>
      </c>
      <c r="CM56">
        <f t="shared" si="18"/>
        <v>2.2494887525562373E-2</v>
      </c>
      <c r="CN56">
        <f t="shared" si="18"/>
        <v>1.2118274357731459E-2</v>
      </c>
      <c r="CO56">
        <f t="shared" si="18"/>
        <v>1.6288252714708785E-2</v>
      </c>
      <c r="CP56">
        <f t="shared" si="18"/>
        <v>1.4616935483870967E-2</v>
      </c>
      <c r="CQ56">
        <f t="shared" si="18"/>
        <v>1.6393442622950821E-2</v>
      </c>
      <c r="CR56">
        <f t="shared" si="18"/>
        <v>1.3432835820895522E-2</v>
      </c>
      <c r="CS56">
        <f t="shared" si="18"/>
        <v>1.037037037037037E-2</v>
      </c>
      <c r="CT56">
        <f t="shared" si="22"/>
        <v>1.6790123456790124E-2</v>
      </c>
      <c r="CU56">
        <f t="shared" si="19"/>
        <v>1.11731843575419E-2</v>
      </c>
      <c r="CV56">
        <f t="shared" si="19"/>
        <v>1.010611419909045E-2</v>
      </c>
      <c r="CW56">
        <f t="shared" si="19"/>
        <v>1.0917030567685589E-2</v>
      </c>
      <c r="CX56">
        <f t="shared" si="19"/>
        <v>9.5559302979201805E-3</v>
      </c>
      <c r="CY56">
        <f t="shared" si="19"/>
        <v>1.5294117647058824E-2</v>
      </c>
      <c r="CZ56">
        <f t="shared" si="19"/>
        <v>1.2208657047724751E-2</v>
      </c>
      <c r="DA56">
        <f t="shared" si="19"/>
        <v>9.1272104962920701E-3</v>
      </c>
      <c r="DB56">
        <f t="shared" si="19"/>
        <v>1.1607661056297156E-2</v>
      </c>
      <c r="DC56">
        <f t="shared" si="19"/>
        <v>1.2277470841006752E-2</v>
      </c>
      <c r="DD56">
        <f t="shared" si="19"/>
        <v>1.1764705882352941E-2</v>
      </c>
      <c r="DE56">
        <f t="shared" si="19"/>
        <v>1.0925819436457734E-2</v>
      </c>
      <c r="DF56">
        <f t="shared" si="19"/>
        <v>6.313131313131313E-3</v>
      </c>
      <c r="DG56">
        <f t="shared" si="19"/>
        <v>3.1407035175879399E-3</v>
      </c>
      <c r="DH56">
        <f t="shared" si="19"/>
        <v>5.1933064050779E-3</v>
      </c>
      <c r="DI56">
        <f t="shared" si="19"/>
        <v>1.2812690665039659E-2</v>
      </c>
      <c r="DJ56">
        <f t="shared" si="19"/>
        <v>9.9765258215962441E-3</v>
      </c>
      <c r="DK56">
        <f t="shared" si="19"/>
        <v>5.7273768613974796E-3</v>
      </c>
      <c r="DL56">
        <f t="shared" si="19"/>
        <v>9.9183197199533262E-3</v>
      </c>
      <c r="DM56">
        <f t="shared" si="19"/>
        <v>4.595060310166571E-3</v>
      </c>
      <c r="DN56">
        <f t="shared" si="19"/>
        <v>6.0864272671941567E-3</v>
      </c>
      <c r="DO56">
        <f t="shared" si="19"/>
        <v>8.2539682539682548E-3</v>
      </c>
      <c r="DP56">
        <f t="shared" si="19"/>
        <v>4.1237113402061857E-3</v>
      </c>
      <c r="DQ56">
        <f t="shared" si="19"/>
        <v>8.3270249810749441E-3</v>
      </c>
      <c r="DR56">
        <f t="shared" si="19"/>
        <v>6.4935064935064939E-3</v>
      </c>
      <c r="DS56">
        <f t="shared" si="19"/>
        <v>5.0718512256973797E-3</v>
      </c>
      <c r="DU56">
        <f t="shared" si="20"/>
        <v>7.6541979839431879E-3</v>
      </c>
    </row>
    <row r="57" spans="1:125" x14ac:dyDescent="0.35">
      <c r="A57" t="s">
        <v>7</v>
      </c>
      <c r="B57">
        <f t="shared" si="23"/>
        <v>0.13271162123385941</v>
      </c>
      <c r="C57">
        <f t="shared" si="23"/>
        <v>0.10425240054869685</v>
      </c>
      <c r="D57">
        <f t="shared" si="23"/>
        <v>0.10418143160878809</v>
      </c>
      <c r="E57">
        <f t="shared" si="23"/>
        <v>9.5145631067961159E-2</v>
      </c>
      <c r="F57">
        <f t="shared" si="23"/>
        <v>9.4759962347034835E-2</v>
      </c>
      <c r="G57">
        <f t="shared" si="23"/>
        <v>9.4397076735688187E-2</v>
      </c>
      <c r="H57">
        <f t="shared" si="23"/>
        <v>0.11417450535192994</v>
      </c>
      <c r="I57">
        <f t="shared" si="23"/>
        <v>0.13671061762664816</v>
      </c>
      <c r="J57">
        <f t="shared" si="23"/>
        <v>0.1</v>
      </c>
      <c r="K57">
        <f t="shared" si="23"/>
        <v>0.10593792172739541</v>
      </c>
      <c r="L57">
        <f t="shared" si="23"/>
        <v>0.11218836565096953</v>
      </c>
      <c r="M57">
        <f t="shared" si="23"/>
        <v>9.9811676082862524E-2</v>
      </c>
      <c r="N57">
        <f t="shared" si="23"/>
        <v>0.15740162398500937</v>
      </c>
      <c r="O57">
        <f t="shared" si="23"/>
        <v>8.656174334140436E-2</v>
      </c>
      <c r="P57">
        <f t="shared" si="23"/>
        <v>0.11154598825831702</v>
      </c>
      <c r="Q57">
        <f t="shared" si="23"/>
        <v>0.10723514211886305</v>
      </c>
      <c r="R57">
        <f t="shared" si="23"/>
        <v>0.14305750350631136</v>
      </c>
      <c r="S57">
        <f t="shared" si="23"/>
        <v>0.11400247831474597</v>
      </c>
      <c r="T57">
        <f t="shared" si="23"/>
        <v>0.12249848392965433</v>
      </c>
      <c r="U57">
        <f t="shared" si="23"/>
        <v>9.7122302158273388E-2</v>
      </c>
      <c r="V57">
        <f t="shared" si="23"/>
        <v>0.13508771929824562</v>
      </c>
      <c r="W57">
        <f t="shared" si="23"/>
        <v>9.6188747731397461E-2</v>
      </c>
      <c r="X57">
        <f t="shared" si="23"/>
        <v>0.10408921933085502</v>
      </c>
      <c r="Y57">
        <f t="shared" si="23"/>
        <v>0.11340852130325814</v>
      </c>
      <c r="Z57">
        <f t="shared" si="23"/>
        <v>9.1291291291291293E-2</v>
      </c>
      <c r="AA57">
        <f t="shared" si="23"/>
        <v>0.13234421364985163</v>
      </c>
      <c r="AB57">
        <f t="shared" si="23"/>
        <v>9.5118898623279102E-2</v>
      </c>
      <c r="AC57">
        <f t="shared" si="23"/>
        <v>8.8511137162954279E-2</v>
      </c>
      <c r="AD57">
        <f t="shared" si="23"/>
        <v>8.6058519793459548E-2</v>
      </c>
      <c r="AE57">
        <f t="shared" si="23"/>
        <v>7.0391061452513962E-2</v>
      </c>
      <c r="AF57">
        <f t="shared" si="23"/>
        <v>9.4664371772805511E-2</v>
      </c>
      <c r="AG57">
        <f t="shared" si="23"/>
        <v>9.4295692665890565E-2</v>
      </c>
      <c r="AH57">
        <f t="shared" si="23"/>
        <v>8.4946908182386011E-2</v>
      </c>
      <c r="AI57">
        <f t="shared" si="23"/>
        <v>7.2151898734177211E-2</v>
      </c>
      <c r="AJ57">
        <f t="shared" si="23"/>
        <v>0.11567164179104478</v>
      </c>
      <c r="AK57">
        <f t="shared" si="23"/>
        <v>0.10412926391382406</v>
      </c>
      <c r="AL57">
        <f t="shared" si="23"/>
        <v>8.1477139507620158E-2</v>
      </c>
      <c r="AM57">
        <f t="shared" si="23"/>
        <v>8.0548926014319802E-2</v>
      </c>
      <c r="AN57">
        <f t="shared" si="23"/>
        <v>9.0133982947624841E-2</v>
      </c>
      <c r="AO57">
        <f t="shared" si="23"/>
        <v>7.8031212484993992E-2</v>
      </c>
      <c r="AP57">
        <f t="shared" si="23"/>
        <v>8.3075015499070051E-2</v>
      </c>
      <c r="AQ57">
        <f t="shared" si="23"/>
        <v>9.2452830188679239E-2</v>
      </c>
      <c r="AR57">
        <f t="shared" si="23"/>
        <v>8.7414755114693113E-2</v>
      </c>
      <c r="AS57">
        <f t="shared" si="23"/>
        <v>6.0398505603985055E-2</v>
      </c>
      <c r="AT57">
        <f t="shared" si="23"/>
        <v>6.67420814479638E-2</v>
      </c>
      <c r="AU57">
        <f t="shared" si="23"/>
        <v>5.1103368176538912E-2</v>
      </c>
      <c r="AV57">
        <f t="shared" si="23"/>
        <v>4.8252911813643926E-2</v>
      </c>
      <c r="AW57">
        <f t="shared" si="23"/>
        <v>7.3349633251833746E-2</v>
      </c>
      <c r="AX57">
        <f t="shared" si="23"/>
        <v>5.368360936607653E-2</v>
      </c>
      <c r="AY57">
        <f t="shared" si="23"/>
        <v>3.2756200280767429E-2</v>
      </c>
      <c r="AZ57" s="10">
        <f t="shared" si="23"/>
        <v>8.8125466766243471E-2</v>
      </c>
      <c r="BA57" s="10">
        <f t="shared" si="23"/>
        <v>7.5614366729678639E-2</v>
      </c>
      <c r="BB57" s="10">
        <f t="shared" si="23"/>
        <v>5.6466302367941715E-2</v>
      </c>
      <c r="BC57" s="10">
        <f t="shared" si="23"/>
        <v>6.3978965819456612E-2</v>
      </c>
      <c r="BD57" s="10">
        <f t="shared" si="23"/>
        <v>4.9455155071248952E-2</v>
      </c>
      <c r="BE57">
        <f t="shared" si="23"/>
        <v>9.0542327519074872E-2</v>
      </c>
      <c r="BF57">
        <f t="shared" si="23"/>
        <v>5.8694077562623417E-2</v>
      </c>
      <c r="BG57">
        <f t="shared" si="23"/>
        <v>8.0507402973553077E-2</v>
      </c>
      <c r="BH57">
        <f t="shared" si="23"/>
        <v>6.9616313112627712E-2</v>
      </c>
      <c r="BI57">
        <f t="shared" si="23"/>
        <v>9.8988165748704421E-2</v>
      </c>
      <c r="BJ57">
        <f t="shared" si="23"/>
        <v>8.3062463372973613E-2</v>
      </c>
      <c r="BK57">
        <f t="shared" si="23"/>
        <v>8.9788710091518092E-2</v>
      </c>
      <c r="BL57">
        <f t="shared" si="23"/>
        <v>7.8052936379920224E-2</v>
      </c>
      <c r="BM57">
        <f t="shared" si="23"/>
        <v>9.569285047849356E-2</v>
      </c>
      <c r="BN57">
        <f t="shared" si="18"/>
        <v>7.0521618148840573E-2</v>
      </c>
      <c r="BO57">
        <f t="shared" si="18"/>
        <v>8.8165895798561308E-2</v>
      </c>
      <c r="BP57">
        <f t="shared" si="18"/>
        <v>7.0543816875506052E-2</v>
      </c>
      <c r="BQ57">
        <f t="shared" si="18"/>
        <v>5.879576571590539E-2</v>
      </c>
      <c r="BR57">
        <f t="shared" si="18"/>
        <v>6.8045807497370034E-2</v>
      </c>
      <c r="BS57">
        <f t="shared" si="18"/>
        <v>6.217508901238903E-2</v>
      </c>
      <c r="BT57">
        <f t="shared" si="18"/>
        <v>5.6302521008403363E-2</v>
      </c>
      <c r="BU57">
        <f t="shared" si="18"/>
        <v>4.3846153846153847E-2</v>
      </c>
      <c r="BV57">
        <f t="shared" si="18"/>
        <v>4.1984732824427481E-2</v>
      </c>
      <c r="BW57">
        <f t="shared" si="18"/>
        <v>5.2671755725190839E-2</v>
      </c>
      <c r="BX57">
        <f t="shared" si="18"/>
        <v>4.7482014388489209E-2</v>
      </c>
      <c r="BY57">
        <f t="shared" si="18"/>
        <v>4.4927536231884058E-2</v>
      </c>
      <c r="BZ57">
        <f t="shared" si="18"/>
        <v>6.0156250000000001E-2</v>
      </c>
      <c r="CA57">
        <f t="shared" si="18"/>
        <v>5.3311793214862679E-2</v>
      </c>
      <c r="CB57">
        <f t="shared" si="18"/>
        <v>4.4254658385093168E-2</v>
      </c>
      <c r="CC57">
        <f t="shared" si="18"/>
        <v>3.7294015611448399E-2</v>
      </c>
      <c r="CD57">
        <f t="shared" si="18"/>
        <v>3.7910699241786014E-2</v>
      </c>
      <c r="CE57">
        <f t="shared" si="18"/>
        <v>3.5652173913043476E-2</v>
      </c>
      <c r="CF57">
        <f t="shared" si="18"/>
        <v>2.3417172593235037E-2</v>
      </c>
      <c r="CG57">
        <f t="shared" si="18"/>
        <v>2.3508137432188065E-2</v>
      </c>
      <c r="CH57">
        <f t="shared" si="18"/>
        <v>2.5454545454545455E-2</v>
      </c>
      <c r="CI57">
        <f t="shared" si="18"/>
        <v>2.2181146025878003E-2</v>
      </c>
      <c r="CJ57">
        <f t="shared" si="18"/>
        <v>4.7279214986619092E-2</v>
      </c>
      <c r="CK57">
        <f t="shared" si="18"/>
        <v>1.9193857965451054E-2</v>
      </c>
      <c r="CL57">
        <f t="shared" si="18"/>
        <v>2.4500907441016333E-2</v>
      </c>
      <c r="CM57">
        <f t="shared" si="18"/>
        <v>1.7890772128060263E-2</v>
      </c>
      <c r="CN57">
        <f t="shared" si="18"/>
        <v>2.66798418972332E-2</v>
      </c>
      <c r="CO57">
        <f t="shared" si="18"/>
        <v>1.9090909090909092E-2</v>
      </c>
      <c r="CP57">
        <f t="shared" si="18"/>
        <v>1.9677996422182469E-2</v>
      </c>
      <c r="CQ57">
        <f t="shared" si="18"/>
        <v>2.2149302707136997E-2</v>
      </c>
      <c r="CR57">
        <f t="shared" si="18"/>
        <v>2.2867194371152155E-2</v>
      </c>
      <c r="CS57">
        <f t="shared" si="18"/>
        <v>1.7361111111111112E-2</v>
      </c>
      <c r="CT57">
        <f t="shared" si="22"/>
        <v>1.3888888888888888E-2</v>
      </c>
      <c r="CU57">
        <f t="shared" si="19"/>
        <v>2.3316062176165803E-2</v>
      </c>
      <c r="CV57">
        <f t="shared" si="19"/>
        <v>1.757631822386679E-2</v>
      </c>
      <c r="CW57">
        <f t="shared" si="19"/>
        <v>1.5947467166979361E-2</v>
      </c>
      <c r="CX57">
        <f t="shared" si="19"/>
        <v>1.3901760889712697E-2</v>
      </c>
      <c r="CY57">
        <f t="shared" si="19"/>
        <v>9.1556459816887082E-3</v>
      </c>
      <c r="CZ57">
        <f t="shared" si="19"/>
        <v>1.5080113100848256E-2</v>
      </c>
      <c r="DA57">
        <f t="shared" si="19"/>
        <v>1.0111223458038422E-2</v>
      </c>
      <c r="DB57">
        <f t="shared" si="19"/>
        <v>1.3429752066115703E-2</v>
      </c>
      <c r="DC57">
        <f t="shared" si="19"/>
        <v>1.0714285714285714E-2</v>
      </c>
      <c r="DD57">
        <f t="shared" si="19"/>
        <v>1.1862396204033216E-3</v>
      </c>
      <c r="DE57">
        <f t="shared" si="19"/>
        <v>9.0805902383654935E-3</v>
      </c>
      <c r="DF57">
        <f t="shared" si="19"/>
        <v>9.696969696969697E-3</v>
      </c>
      <c r="DG57">
        <f t="shared" si="19"/>
        <v>1.5555555555555555E-2</v>
      </c>
      <c r="DH57">
        <f t="shared" si="19"/>
        <v>5.0314465408805029E-3</v>
      </c>
      <c r="DI57">
        <f t="shared" si="19"/>
        <v>7.6238881829733167E-3</v>
      </c>
      <c r="DJ57">
        <f t="shared" si="19"/>
        <v>9.0497737556561094E-3</v>
      </c>
      <c r="DK57">
        <f t="shared" si="19"/>
        <v>3.5971223021582736E-3</v>
      </c>
      <c r="DL57">
        <f t="shared" si="19"/>
        <v>7.98175598631699E-3</v>
      </c>
      <c r="DM57">
        <f t="shared" si="19"/>
        <v>5.6306306306306304E-3</v>
      </c>
      <c r="DN57">
        <f t="shared" si="19"/>
        <v>1.2850467289719626E-2</v>
      </c>
      <c r="DO57">
        <f t="shared" si="19"/>
        <v>8.0213903743315516E-3</v>
      </c>
      <c r="DP57">
        <f t="shared" si="19"/>
        <v>6.4724919093851136E-3</v>
      </c>
      <c r="DQ57">
        <f t="shared" si="19"/>
        <v>9.8846787479406912E-3</v>
      </c>
      <c r="DR57">
        <f t="shared" si="19"/>
        <v>6.6115702479338841E-3</v>
      </c>
      <c r="DS57">
        <f t="shared" si="19"/>
        <v>3.246753246753247E-3</v>
      </c>
      <c r="DU57">
        <f t="shared" si="20"/>
        <v>7.9759286308062061E-3</v>
      </c>
    </row>
    <row r="58" spans="1:125" x14ac:dyDescent="0.35">
      <c r="A58" t="s">
        <v>8</v>
      </c>
      <c r="B58">
        <f t="shared" si="23"/>
        <v>9.3385214007782102E-2</v>
      </c>
      <c r="C58">
        <f t="shared" si="23"/>
        <v>0.16111111111111112</v>
      </c>
      <c r="D58">
        <f t="shared" si="23"/>
        <v>0.12248628884826325</v>
      </c>
      <c r="E58">
        <f t="shared" si="23"/>
        <v>0.11320754716981132</v>
      </c>
      <c r="F58">
        <f t="shared" si="23"/>
        <v>0.11864406779661017</v>
      </c>
      <c r="G58">
        <f t="shared" si="23"/>
        <v>0.12406015037593984</v>
      </c>
      <c r="H58">
        <f t="shared" si="23"/>
        <v>0.11091854419410745</v>
      </c>
      <c r="I58">
        <f t="shared" si="23"/>
        <v>9.9678456591639875E-2</v>
      </c>
      <c r="J58">
        <f t="shared" si="23"/>
        <v>0.11724137931034483</v>
      </c>
      <c r="K58">
        <f t="shared" si="23"/>
        <v>0.12414383561643835</v>
      </c>
      <c r="L58">
        <f t="shared" si="23"/>
        <v>0.13095238095238096</v>
      </c>
      <c r="M58">
        <f t="shared" si="23"/>
        <v>0.125</v>
      </c>
      <c r="N58">
        <f t="shared" si="23"/>
        <v>0.14009661835748793</v>
      </c>
      <c r="O58">
        <f t="shared" si="23"/>
        <v>0.12434325744308231</v>
      </c>
      <c r="P58">
        <f t="shared" si="23"/>
        <v>0.10989010989010989</v>
      </c>
      <c r="Q58">
        <f t="shared" si="23"/>
        <v>9.0163934426229511E-2</v>
      </c>
      <c r="R58">
        <f t="shared" si="23"/>
        <v>0.14691151919866444</v>
      </c>
      <c r="S58">
        <f t="shared" si="23"/>
        <v>8.4175084175084181E-2</v>
      </c>
      <c r="T58">
        <f t="shared" si="23"/>
        <v>8.6821705426356588E-2</v>
      </c>
      <c r="U58">
        <f t="shared" si="23"/>
        <v>0.12328767123287671</v>
      </c>
      <c r="V58">
        <f t="shared" si="23"/>
        <v>0.14959349593495935</v>
      </c>
      <c r="W58">
        <f t="shared" si="23"/>
        <v>0.10802469135802469</v>
      </c>
      <c r="X58">
        <f t="shared" si="23"/>
        <v>8.5271317829457363E-2</v>
      </c>
      <c r="Y58">
        <f t="shared" si="23"/>
        <v>0.13076923076923078</v>
      </c>
      <c r="Z58">
        <f t="shared" si="23"/>
        <v>0.1130030959752322</v>
      </c>
      <c r="AA58">
        <f t="shared" si="23"/>
        <v>0.1104199066874028</v>
      </c>
      <c r="AB58">
        <f t="shared" si="23"/>
        <v>8.7423312883435578E-2</v>
      </c>
      <c r="AC58">
        <f t="shared" si="23"/>
        <v>0.10983606557377049</v>
      </c>
      <c r="AD58">
        <f t="shared" si="23"/>
        <v>7.4850299401197598E-2</v>
      </c>
      <c r="AE58">
        <f t="shared" si="23"/>
        <v>8.8012139605462822E-2</v>
      </c>
      <c r="AF58">
        <f t="shared" si="23"/>
        <v>6.6305818673883632E-2</v>
      </c>
      <c r="AG58">
        <f t="shared" si="23"/>
        <v>0.10128388017118402</v>
      </c>
      <c r="AH58">
        <f t="shared" si="23"/>
        <v>7.334273624823695E-2</v>
      </c>
      <c r="AI58">
        <f t="shared" si="23"/>
        <v>9.9688473520249218E-2</v>
      </c>
      <c r="AJ58">
        <f t="shared" si="23"/>
        <v>0.12462006079027356</v>
      </c>
      <c r="AK58">
        <f t="shared" si="23"/>
        <v>8.5168869309838469E-2</v>
      </c>
      <c r="AL58">
        <f t="shared" si="23"/>
        <v>9.9673202614379092E-2</v>
      </c>
      <c r="AM58">
        <f t="shared" si="23"/>
        <v>0.1130690161527166</v>
      </c>
      <c r="AN58">
        <f t="shared" si="23"/>
        <v>0.11451612903225807</v>
      </c>
      <c r="AO58">
        <f t="shared" si="23"/>
        <v>8.2170542635658914E-2</v>
      </c>
      <c r="AP58">
        <f t="shared" si="23"/>
        <v>0.10866141732283464</v>
      </c>
      <c r="AQ58">
        <f t="shared" si="23"/>
        <v>6.5868263473053898E-2</v>
      </c>
      <c r="AR58">
        <f t="shared" si="23"/>
        <v>0.11784511784511785</v>
      </c>
      <c r="AS58">
        <f t="shared" si="23"/>
        <v>0.13398692810457516</v>
      </c>
      <c r="AT58">
        <f t="shared" si="23"/>
        <v>6.2700964630225078E-2</v>
      </c>
      <c r="AU58">
        <f t="shared" si="23"/>
        <v>5.0793650793650794E-2</v>
      </c>
      <c r="AV58">
        <f t="shared" si="23"/>
        <v>6.097560975609756E-2</v>
      </c>
      <c r="AW58">
        <f t="shared" si="23"/>
        <v>9.2369477911646583E-2</v>
      </c>
      <c r="AX58">
        <f t="shared" si="23"/>
        <v>9.6774193548387094E-2</v>
      </c>
      <c r="AY58">
        <f t="shared" si="23"/>
        <v>5.5555555555555552E-2</v>
      </c>
      <c r="AZ58" s="10">
        <f t="shared" si="23"/>
        <v>5.1039697542533083E-2</v>
      </c>
      <c r="BA58" s="10">
        <f t="shared" si="23"/>
        <v>9.8639455782312924E-2</v>
      </c>
      <c r="BB58" s="10">
        <f t="shared" si="23"/>
        <v>7.3954983922829579E-2</v>
      </c>
      <c r="BC58" s="10">
        <f t="shared" si="23"/>
        <v>6.3253012048192767E-2</v>
      </c>
      <c r="BD58" s="10">
        <f t="shared" si="23"/>
        <v>9.6885813148788927E-2</v>
      </c>
      <c r="BE58">
        <f t="shared" si="23"/>
        <v>6.7044119383469117E-2</v>
      </c>
      <c r="BF58">
        <f t="shared" si="23"/>
        <v>9.4179684409666564E-2</v>
      </c>
      <c r="BG58">
        <f t="shared" si="23"/>
        <v>7.5509051067396776E-2</v>
      </c>
      <c r="BH58">
        <f t="shared" si="23"/>
        <v>6.4008198367367597E-2</v>
      </c>
      <c r="BI58">
        <f t="shared" si="23"/>
        <v>8.5633332303526585E-2</v>
      </c>
      <c r="BJ58">
        <f t="shared" si="23"/>
        <v>8.0099797030824552E-2</v>
      </c>
      <c r="BK58">
        <f t="shared" si="23"/>
        <v>2.771417290206938E-2</v>
      </c>
      <c r="BL58">
        <f t="shared" si="23"/>
        <v>8.8602178419953284E-2</v>
      </c>
      <c r="BM58">
        <f t="shared" si="23"/>
        <v>7.0230015122031128E-2</v>
      </c>
      <c r="BN58">
        <f t="shared" si="18"/>
        <v>7.8117660690842139E-2</v>
      </c>
      <c r="BO58">
        <f t="shared" si="18"/>
        <v>5.6149243510695446E-2</v>
      </c>
      <c r="BP58">
        <f t="shared" si="18"/>
        <v>4.9666539990686133E-2</v>
      </c>
      <c r="BQ58">
        <f t="shared" si="18"/>
        <v>6.6446352684051205E-2</v>
      </c>
      <c r="BR58">
        <f t="shared" si="18"/>
        <v>3.7735543401998008E-2</v>
      </c>
      <c r="BS58">
        <f t="shared" si="18"/>
        <v>4.0858632371024703E-2</v>
      </c>
      <c r="BT58">
        <f t="shared" si="18"/>
        <v>4.3749999999999997E-2</v>
      </c>
      <c r="BU58">
        <f t="shared" si="18"/>
        <v>2.8260869565217391E-2</v>
      </c>
      <c r="BV58">
        <f t="shared" si="18"/>
        <v>2.7659574468085105E-2</v>
      </c>
      <c r="BW58">
        <f t="shared" si="18"/>
        <v>4.4230769230769233E-2</v>
      </c>
      <c r="BX58">
        <f t="shared" si="18"/>
        <v>4.8214285714285716E-2</v>
      </c>
      <c r="BY58">
        <f t="shared" si="18"/>
        <v>4.2857142857142858E-2</v>
      </c>
      <c r="BZ58">
        <f t="shared" si="18"/>
        <v>3.0508474576271188E-2</v>
      </c>
      <c r="CA58">
        <f t="shared" si="18"/>
        <v>4.1036717062634988E-2</v>
      </c>
      <c r="CB58">
        <f t="shared" si="18"/>
        <v>3.9639639639639637E-2</v>
      </c>
      <c r="CC58">
        <f t="shared" si="18"/>
        <v>2.1999999999999999E-2</v>
      </c>
      <c r="CD58">
        <f t="shared" si="18"/>
        <v>4.9250535331905779E-2</v>
      </c>
      <c r="CE58">
        <f t="shared" si="18"/>
        <v>3.4313725490196081E-2</v>
      </c>
      <c r="CF58">
        <f t="shared" si="18"/>
        <v>2.0689655172413793E-2</v>
      </c>
      <c r="CG58">
        <f t="shared" si="18"/>
        <v>1.1682242990654205E-2</v>
      </c>
      <c r="CH58">
        <f t="shared" si="18"/>
        <v>2.6970954356846474E-2</v>
      </c>
      <c r="CI58">
        <f t="shared" si="18"/>
        <v>2.6315789473684209E-2</v>
      </c>
      <c r="CJ58">
        <f t="shared" si="18"/>
        <v>1.4634146341463415E-2</v>
      </c>
      <c r="CK58">
        <f t="shared" si="18"/>
        <v>1.7374517374517374E-2</v>
      </c>
      <c r="CL58">
        <f t="shared" si="18"/>
        <v>1.4084507042253521E-2</v>
      </c>
      <c r="CM58">
        <f t="shared" si="18"/>
        <v>1.5909090909090907E-2</v>
      </c>
      <c r="CN58">
        <f t="shared" si="18"/>
        <v>1.5765765765765764E-2</v>
      </c>
      <c r="CO58">
        <f t="shared" si="18"/>
        <v>1.1312217194570135E-2</v>
      </c>
      <c r="CP58">
        <f t="shared" si="18"/>
        <v>2.0920502092050207E-3</v>
      </c>
      <c r="CQ58">
        <f t="shared" si="18"/>
        <v>1.7429193899782137E-2</v>
      </c>
      <c r="CR58">
        <f t="shared" si="18"/>
        <v>1.932367149758454E-2</v>
      </c>
      <c r="CS58">
        <f t="shared" si="18"/>
        <v>9.5465393794749408E-3</v>
      </c>
      <c r="CT58">
        <f t="shared" si="22"/>
        <v>1.9093078758949882E-2</v>
      </c>
      <c r="CU58">
        <f t="shared" si="19"/>
        <v>1.1933174224343675E-2</v>
      </c>
      <c r="CV58">
        <f t="shared" si="19"/>
        <v>7.5949367088607592E-3</v>
      </c>
      <c r="CW58">
        <f t="shared" si="19"/>
        <v>1.2658227848101266E-2</v>
      </c>
      <c r="CX58">
        <f t="shared" si="19"/>
        <v>1.8134715025906734E-2</v>
      </c>
      <c r="CY58">
        <f t="shared" si="19"/>
        <v>7.8947368421052634E-3</v>
      </c>
      <c r="CZ58">
        <f t="shared" si="19"/>
        <v>1.2626262626262626E-2</v>
      </c>
      <c r="DA58">
        <f t="shared" si="19"/>
        <v>1.1764705882352941E-2</v>
      </c>
      <c r="DB58">
        <f t="shared" si="19"/>
        <v>1.6908212560386472E-2</v>
      </c>
      <c r="DC58">
        <f t="shared" si="19"/>
        <v>1.2500000000000001E-2</v>
      </c>
      <c r="DD58">
        <f t="shared" si="19"/>
        <v>1.8633540372670808E-2</v>
      </c>
      <c r="DE58">
        <f t="shared" si="19"/>
        <v>6.2305295950155761E-3</v>
      </c>
      <c r="DF58">
        <f t="shared" si="19"/>
        <v>6.3091482649842269E-3</v>
      </c>
      <c r="DG58">
        <f t="shared" si="19"/>
        <v>8.7976539589442824E-3</v>
      </c>
      <c r="DH58">
        <f t="shared" si="19"/>
        <v>5.9347181008902079E-3</v>
      </c>
      <c r="DI58">
        <f t="shared" si="19"/>
        <v>1.2307692307692308E-2</v>
      </c>
      <c r="DJ58">
        <f t="shared" si="19"/>
        <v>3.0120481927710845E-3</v>
      </c>
      <c r="DK58">
        <f t="shared" si="19"/>
        <v>5.3191489361702126E-3</v>
      </c>
      <c r="DL58">
        <f t="shared" si="19"/>
        <v>3.2573289902280132E-3</v>
      </c>
      <c r="DM58">
        <f t="shared" si="19"/>
        <v>8.5714285714285719E-3</v>
      </c>
      <c r="DN58">
        <f t="shared" si="19"/>
        <v>1.1661807580174927E-2</v>
      </c>
      <c r="DO58">
        <f t="shared" si="19"/>
        <v>0</v>
      </c>
      <c r="DP58">
        <f t="shared" si="19"/>
        <v>1.7543859649122806E-2</v>
      </c>
      <c r="DQ58">
        <f t="shared" si="19"/>
        <v>3.9215686274509803E-3</v>
      </c>
      <c r="DR58">
        <f t="shared" si="19"/>
        <v>3.8022813688212928E-3</v>
      </c>
      <c r="DS58">
        <f t="shared" si="19"/>
        <v>9.0497737556561094E-3</v>
      </c>
      <c r="DU58">
        <f t="shared" si="20"/>
        <v>7.9643195105388587E-3</v>
      </c>
    </row>
    <row r="59" spans="1:125" x14ac:dyDescent="0.35">
      <c r="A59" t="s">
        <v>9</v>
      </c>
      <c r="B59">
        <f t="shared" si="23"/>
        <v>7.8042328042328038E-2</v>
      </c>
      <c r="C59">
        <f t="shared" si="23"/>
        <v>7.2649572649572655E-2</v>
      </c>
      <c r="D59">
        <f t="shared" si="23"/>
        <v>7.9295154185022032E-2</v>
      </c>
      <c r="E59">
        <f t="shared" si="23"/>
        <v>9.504373177842565E-2</v>
      </c>
      <c r="F59">
        <f t="shared" si="23"/>
        <v>7.6923076923076927E-2</v>
      </c>
      <c r="G59">
        <f t="shared" si="23"/>
        <v>5.9483726150392817E-2</v>
      </c>
      <c r="H59">
        <f t="shared" si="23"/>
        <v>8.6100168823860443E-2</v>
      </c>
      <c r="I59">
        <f t="shared" si="23"/>
        <v>0.11286681715575621</v>
      </c>
      <c r="J59">
        <f t="shared" si="23"/>
        <v>0.10222729868646488</v>
      </c>
      <c r="K59">
        <f t="shared" si="23"/>
        <v>9.6468561584840656E-2</v>
      </c>
      <c r="L59">
        <f t="shared" si="23"/>
        <v>9.0646651270207851E-2</v>
      </c>
      <c r="M59">
        <f t="shared" si="23"/>
        <v>8.6225026288117776E-2</v>
      </c>
      <c r="N59">
        <f t="shared" si="23"/>
        <v>0.10438074634937804</v>
      </c>
      <c r="O59">
        <f t="shared" si="23"/>
        <v>5.7654075546719682E-2</v>
      </c>
      <c r="P59">
        <f t="shared" si="23"/>
        <v>6.9394096323148621E-2</v>
      </c>
      <c r="Q59">
        <f t="shared" si="23"/>
        <v>7.650273224043716E-2</v>
      </c>
      <c r="R59">
        <f t="shared" si="23"/>
        <v>0.11865312667022983</v>
      </c>
      <c r="S59">
        <f t="shared" si="23"/>
        <v>7.9005524861878451E-2</v>
      </c>
      <c r="T59">
        <f t="shared" si="23"/>
        <v>9.1803278688524587E-2</v>
      </c>
      <c r="U59">
        <f t="shared" si="23"/>
        <v>7.9748163693599161E-2</v>
      </c>
      <c r="V59">
        <f t="shared" si="23"/>
        <v>0.10358342665173573</v>
      </c>
      <c r="W59">
        <f t="shared" si="23"/>
        <v>0.10312671420735052</v>
      </c>
      <c r="X59">
        <f t="shared" si="23"/>
        <v>8.3822744260544577E-2</v>
      </c>
      <c r="Y59">
        <f t="shared" si="23"/>
        <v>7.9956780118854667E-2</v>
      </c>
      <c r="Z59">
        <f t="shared" si="23"/>
        <v>8.0064481461579795E-2</v>
      </c>
      <c r="AA59">
        <f t="shared" si="23"/>
        <v>0.11704422869471413</v>
      </c>
      <c r="AB59">
        <f t="shared" si="23"/>
        <v>7.5562700964630219E-2</v>
      </c>
      <c r="AC59">
        <f t="shared" si="23"/>
        <v>8.4801762114537452E-2</v>
      </c>
      <c r="AD59">
        <f t="shared" si="23"/>
        <v>8.3111347895578044E-2</v>
      </c>
      <c r="AE59">
        <f t="shared" si="23"/>
        <v>8.2515868436237733E-2</v>
      </c>
      <c r="AF59">
        <f t="shared" si="23"/>
        <v>8.5928489042675887E-2</v>
      </c>
      <c r="AG59">
        <f t="shared" si="23"/>
        <v>8.3621683967704724E-2</v>
      </c>
      <c r="AH59">
        <f t="shared" si="23"/>
        <v>7.5504322766570611E-2</v>
      </c>
      <c r="AI59">
        <f t="shared" si="23"/>
        <v>8.7033747779751328E-2</v>
      </c>
      <c r="AJ59">
        <f t="shared" si="23"/>
        <v>6.8707058088694567E-2</v>
      </c>
      <c r="AK59">
        <f t="shared" si="23"/>
        <v>7.5552825552825553E-2</v>
      </c>
      <c r="AL59">
        <f t="shared" si="23"/>
        <v>8.2392026578073096E-2</v>
      </c>
      <c r="AM59">
        <f t="shared" si="23"/>
        <v>7.2526121696373694E-2</v>
      </c>
      <c r="AN59">
        <f t="shared" si="23"/>
        <v>6.9100391134289438E-2</v>
      </c>
      <c r="AO59">
        <f t="shared" si="23"/>
        <v>6.3063063063063057E-2</v>
      </c>
      <c r="AP59">
        <f t="shared" si="23"/>
        <v>6.6401062416998669E-2</v>
      </c>
      <c r="AQ59">
        <f t="shared" si="23"/>
        <v>7.039473684210526E-2</v>
      </c>
      <c r="AR59">
        <f t="shared" si="23"/>
        <v>6.8597560975609762E-2</v>
      </c>
      <c r="AS59">
        <f t="shared" si="23"/>
        <v>7.0391872278664738E-2</v>
      </c>
      <c r="AT59">
        <f t="shared" si="23"/>
        <v>6.1700526711813392E-2</v>
      </c>
      <c r="AU59">
        <f t="shared" si="23"/>
        <v>4.8399687743950037E-2</v>
      </c>
      <c r="AV59">
        <f t="shared" si="23"/>
        <v>3.1956352299298517E-2</v>
      </c>
      <c r="AW59">
        <f t="shared" si="23"/>
        <v>4.0803515379786569E-2</v>
      </c>
      <c r="AX59">
        <f t="shared" si="23"/>
        <v>4.3161434977578475E-2</v>
      </c>
      <c r="AY59">
        <f t="shared" si="23"/>
        <v>2.578167855183763E-2</v>
      </c>
      <c r="AZ59" s="10">
        <f t="shared" si="23"/>
        <v>5.9674502712477394E-2</v>
      </c>
      <c r="BA59" s="10">
        <f t="shared" si="23"/>
        <v>4.6114432109308282E-2</v>
      </c>
      <c r="BB59" s="10">
        <f t="shared" si="23"/>
        <v>4.5256744995648392E-2</v>
      </c>
      <c r="BC59" s="10">
        <f t="shared" si="23"/>
        <v>4.2461005199306762E-2</v>
      </c>
      <c r="BD59" s="10">
        <f t="shared" si="23"/>
        <v>4.4498381877022652E-2</v>
      </c>
      <c r="BE59">
        <f t="shared" si="23"/>
        <v>4.9713630018033937E-2</v>
      </c>
      <c r="BF59">
        <f t="shared" si="23"/>
        <v>6.2391200865080411E-2</v>
      </c>
      <c r="BG59">
        <f t="shared" si="23"/>
        <v>7.0289878038018352E-2</v>
      </c>
      <c r="BH59">
        <f t="shared" si="23"/>
        <v>5.83090567027124E-2</v>
      </c>
      <c r="BI59">
        <f t="shared" si="23"/>
        <v>5.2022806398576808E-2</v>
      </c>
      <c r="BJ59">
        <f t="shared" si="23"/>
        <v>5.6629274995749941E-2</v>
      </c>
      <c r="BK59">
        <f t="shared" si="23"/>
        <v>4.5975246907195066E-2</v>
      </c>
      <c r="BL59">
        <f t="shared" si="23"/>
        <v>3.6020000328345597E-2</v>
      </c>
      <c r="BM59">
        <f t="shared" ref="BM59" si="24">+BM11/BM33</f>
        <v>4.7513959497096504E-2</v>
      </c>
      <c r="BN59">
        <f t="shared" si="18"/>
        <v>4.0029528708312369E-2</v>
      </c>
      <c r="BO59">
        <f t="shared" si="18"/>
        <v>6.3989632646171801E-2</v>
      </c>
      <c r="BP59">
        <f t="shared" si="18"/>
        <v>4.2383040172888922E-2</v>
      </c>
      <c r="BQ59">
        <f t="shared" si="18"/>
        <v>5.4255630538507578E-2</v>
      </c>
      <c r="BR59">
        <f t="shared" si="18"/>
        <v>5.7340181808009885E-2</v>
      </c>
      <c r="BS59">
        <f t="shared" si="18"/>
        <v>4.5575829459345539E-2</v>
      </c>
      <c r="BT59">
        <f t="shared" si="18"/>
        <v>3.3636363636363638E-2</v>
      </c>
      <c r="BU59">
        <f t="shared" si="18"/>
        <v>4.2857142857142858E-2</v>
      </c>
      <c r="BV59">
        <f t="shared" si="18"/>
        <v>3.5238095238095235E-2</v>
      </c>
      <c r="BW59">
        <f t="shared" si="18"/>
        <v>3.884297520661157E-2</v>
      </c>
      <c r="BX59">
        <f t="shared" si="18"/>
        <v>3.5937499999999997E-2</v>
      </c>
      <c r="BY59">
        <f t="shared" si="18"/>
        <v>2.2222222222222223E-2</v>
      </c>
      <c r="BZ59">
        <f t="shared" si="18"/>
        <v>4.4776119402985072E-2</v>
      </c>
      <c r="CA59">
        <f t="shared" si="18"/>
        <v>3.0493273542600896E-2</v>
      </c>
      <c r="CB59">
        <f t="shared" si="18"/>
        <v>4.0457343887423045E-2</v>
      </c>
      <c r="CC59">
        <f t="shared" si="18"/>
        <v>4.218600191754554E-2</v>
      </c>
      <c r="CD59">
        <f t="shared" si="18"/>
        <v>3.7900874635568516E-2</v>
      </c>
      <c r="CE59">
        <f t="shared" si="18"/>
        <v>3.1976744186046513E-2</v>
      </c>
      <c r="CF59">
        <f t="shared" si="18"/>
        <v>3.1115879828326181E-2</v>
      </c>
      <c r="CG59">
        <f t="shared" si="18"/>
        <v>2.5193798449612403E-2</v>
      </c>
      <c r="CH59">
        <f t="shared" si="18"/>
        <v>2.5466893039049237E-2</v>
      </c>
      <c r="CI59">
        <f t="shared" si="18"/>
        <v>3.1695721077654518E-2</v>
      </c>
      <c r="CJ59">
        <f t="shared" si="18"/>
        <v>2.5598678777869529E-2</v>
      </c>
      <c r="CK59">
        <f t="shared" si="18"/>
        <v>2.3333333333333334E-2</v>
      </c>
      <c r="CL59">
        <f t="shared" si="18"/>
        <v>2.5595763459841131E-2</v>
      </c>
      <c r="CM59">
        <f t="shared" si="18"/>
        <v>1.981132075471698E-2</v>
      </c>
      <c r="CN59">
        <f t="shared" si="18"/>
        <v>1.1818181818181818E-2</v>
      </c>
      <c r="CO59">
        <f t="shared" si="18"/>
        <v>1.3526570048309179E-2</v>
      </c>
      <c r="CP59">
        <f t="shared" si="18"/>
        <v>1.7383348581884721E-2</v>
      </c>
      <c r="CQ59">
        <f t="shared" si="18"/>
        <v>1.7241379310344827E-2</v>
      </c>
      <c r="CR59">
        <f t="shared" si="18"/>
        <v>1.5715467328370553E-2</v>
      </c>
      <c r="CS59">
        <f t="shared" ref="CS59:DH71" si="25">+CS11/CS33</f>
        <v>9.8199672667757774E-3</v>
      </c>
      <c r="CT59">
        <f t="shared" si="22"/>
        <v>2.1276595744680851E-2</v>
      </c>
      <c r="CU59">
        <f t="shared" si="19"/>
        <v>1.466544454628781E-2</v>
      </c>
      <c r="CV59">
        <f t="shared" si="19"/>
        <v>9.8328416912487702E-3</v>
      </c>
      <c r="CW59">
        <f t="shared" si="19"/>
        <v>7.7369439071566732E-3</v>
      </c>
      <c r="CX59">
        <f t="shared" si="19"/>
        <v>1.5779092702169626E-2</v>
      </c>
      <c r="CY59">
        <f t="shared" si="19"/>
        <v>1.452081316553727E-2</v>
      </c>
      <c r="CZ59">
        <f t="shared" si="19"/>
        <v>1.1201629327902239E-2</v>
      </c>
      <c r="DA59">
        <f t="shared" si="19"/>
        <v>8.8669950738916262E-3</v>
      </c>
      <c r="DB59">
        <f t="shared" si="19"/>
        <v>9.99000999000999E-3</v>
      </c>
      <c r="DC59">
        <f t="shared" si="19"/>
        <v>5.2966101694915252E-3</v>
      </c>
      <c r="DD59">
        <f t="shared" si="19"/>
        <v>1.4823261117445839E-2</v>
      </c>
      <c r="DE59">
        <f t="shared" si="19"/>
        <v>1.2775842044134728E-2</v>
      </c>
      <c r="DF59">
        <f t="shared" si="19"/>
        <v>9.5238095238095247E-3</v>
      </c>
      <c r="DG59">
        <f t="shared" si="19"/>
        <v>7.743362831858407E-3</v>
      </c>
      <c r="DH59">
        <f t="shared" si="19"/>
        <v>7.8475336322869956E-3</v>
      </c>
      <c r="DI59">
        <f t="shared" si="19"/>
        <v>1.1520737327188941E-2</v>
      </c>
      <c r="DJ59">
        <f t="shared" si="19"/>
        <v>4.5662100456621002E-3</v>
      </c>
      <c r="DK59">
        <f t="shared" si="19"/>
        <v>3.4522439585730723E-3</v>
      </c>
      <c r="DL59">
        <f t="shared" si="19"/>
        <v>8.1018518518518514E-3</v>
      </c>
      <c r="DM59">
        <f t="shared" si="19"/>
        <v>1.0791366906474821E-2</v>
      </c>
      <c r="DN59">
        <f t="shared" si="19"/>
        <v>2.4390243902439024E-3</v>
      </c>
      <c r="DO59">
        <f t="shared" si="19"/>
        <v>1.3947001394700139E-2</v>
      </c>
      <c r="DP59">
        <f t="shared" si="19"/>
        <v>4.076086956521739E-3</v>
      </c>
      <c r="DQ59">
        <f t="shared" si="19"/>
        <v>4.3731778425655978E-3</v>
      </c>
      <c r="DR59">
        <f t="shared" si="19"/>
        <v>2.967359050445104E-3</v>
      </c>
      <c r="DS59">
        <f t="shared" si="19"/>
        <v>1.098901098901099E-2</v>
      </c>
      <c r="DU59">
        <f t="shared" si="20"/>
        <v>8.2843935588084051E-3</v>
      </c>
    </row>
    <row r="60" spans="1:125" x14ac:dyDescent="0.35">
      <c r="A60" t="s">
        <v>10</v>
      </c>
      <c r="B60">
        <f t="shared" ref="B60:BM63" si="26">+B12/B34</f>
        <v>9.947643979057591E-2</v>
      </c>
      <c r="C60">
        <f t="shared" si="26"/>
        <v>8.3544303797468356E-2</v>
      </c>
      <c r="D60">
        <f t="shared" si="26"/>
        <v>9.2377260981912152E-2</v>
      </c>
      <c r="E60">
        <f t="shared" si="26"/>
        <v>9.0095465393794746E-2</v>
      </c>
      <c r="F60">
        <f t="shared" si="26"/>
        <v>0.08</v>
      </c>
      <c r="G60">
        <f t="shared" si="26"/>
        <v>7.0041200706297824E-2</v>
      </c>
      <c r="H60">
        <f t="shared" si="26"/>
        <v>9.5016030311862426E-2</v>
      </c>
      <c r="I60">
        <f t="shared" si="26"/>
        <v>0.1195150115473441</v>
      </c>
      <c r="J60">
        <f t="shared" si="26"/>
        <v>9.7600872410032721E-2</v>
      </c>
      <c r="K60">
        <f t="shared" si="26"/>
        <v>9.6153846153846159E-2</v>
      </c>
      <c r="L60">
        <f t="shared" si="26"/>
        <v>9.4684385382059796E-2</v>
      </c>
      <c r="M60">
        <f t="shared" si="26"/>
        <v>8.7113402061855666E-2</v>
      </c>
      <c r="N60">
        <f t="shared" si="26"/>
        <v>8.4803921568627455E-2</v>
      </c>
      <c r="O60">
        <f t="shared" si="26"/>
        <v>6.2561094819159335E-2</v>
      </c>
      <c r="P60">
        <f t="shared" si="26"/>
        <v>6.9532908704883226E-2</v>
      </c>
      <c r="Q60">
        <f t="shared" si="26"/>
        <v>8.5198555956678704E-2</v>
      </c>
      <c r="R60">
        <f t="shared" si="26"/>
        <v>9.7322348094747685E-2</v>
      </c>
      <c r="S60">
        <f t="shared" si="26"/>
        <v>8.4356647090229581E-2</v>
      </c>
      <c r="T60">
        <f t="shared" si="26"/>
        <v>8.6026852312282451E-2</v>
      </c>
      <c r="U60">
        <f t="shared" si="26"/>
        <v>9.0398365679264556E-2</v>
      </c>
      <c r="V60">
        <f t="shared" si="26"/>
        <v>0.10181451612903226</v>
      </c>
      <c r="W60">
        <f t="shared" si="26"/>
        <v>0.1015744032503809</v>
      </c>
      <c r="X60">
        <f t="shared" si="26"/>
        <v>6.2045564711585073E-2</v>
      </c>
      <c r="Y60">
        <f t="shared" si="26"/>
        <v>8.4812623274161739E-2</v>
      </c>
      <c r="Z60">
        <f t="shared" si="26"/>
        <v>7.9650315687226803E-2</v>
      </c>
      <c r="AA60">
        <f t="shared" si="26"/>
        <v>0.11060142711518858</v>
      </c>
      <c r="AB60">
        <f t="shared" si="26"/>
        <v>6.1143984220907298E-2</v>
      </c>
      <c r="AC60">
        <f t="shared" si="26"/>
        <v>9.4349142280524725E-2</v>
      </c>
      <c r="AD60">
        <f t="shared" si="26"/>
        <v>0.1007125890736342</v>
      </c>
      <c r="AE60">
        <f t="shared" si="26"/>
        <v>7.7685088633993746E-2</v>
      </c>
      <c r="AF60">
        <f t="shared" si="26"/>
        <v>7.5711382113821141E-2</v>
      </c>
      <c r="AG60">
        <f t="shared" si="26"/>
        <v>8.2694414019715223E-2</v>
      </c>
      <c r="AH60">
        <f t="shared" si="26"/>
        <v>9.1533180778032033E-2</v>
      </c>
      <c r="AI60">
        <f t="shared" si="26"/>
        <v>7.9225352112676062E-2</v>
      </c>
      <c r="AJ60">
        <f t="shared" si="26"/>
        <v>9.6984033116499113E-2</v>
      </c>
      <c r="AK60">
        <f t="shared" si="26"/>
        <v>8.4900284900284895E-2</v>
      </c>
      <c r="AL60">
        <f t="shared" si="26"/>
        <v>8.3384805435453985E-2</v>
      </c>
      <c r="AM60">
        <f t="shared" si="26"/>
        <v>9.2457420924574207E-2</v>
      </c>
      <c r="AN60">
        <f t="shared" si="26"/>
        <v>7.477820025348543E-2</v>
      </c>
      <c r="AO60">
        <f t="shared" si="26"/>
        <v>6.6157760814249358E-2</v>
      </c>
      <c r="AP60">
        <f t="shared" si="26"/>
        <v>7.5218267293485561E-2</v>
      </c>
      <c r="AQ60">
        <f t="shared" si="26"/>
        <v>7.2590738423028781E-2</v>
      </c>
      <c r="AR60">
        <f t="shared" si="26"/>
        <v>7.6923076923076927E-2</v>
      </c>
      <c r="AS60">
        <f t="shared" si="26"/>
        <v>8.3953960731211918E-2</v>
      </c>
      <c r="AT60">
        <f t="shared" si="26"/>
        <v>4.5484949832775921E-2</v>
      </c>
      <c r="AU60">
        <f t="shared" si="26"/>
        <v>3.9227166276346606E-2</v>
      </c>
      <c r="AV60">
        <f t="shared" si="26"/>
        <v>3.7662337662337661E-2</v>
      </c>
      <c r="AW60">
        <f t="shared" si="26"/>
        <v>4.3506078055022393E-2</v>
      </c>
      <c r="AX60">
        <f t="shared" si="26"/>
        <v>4.5207956600361664E-2</v>
      </c>
      <c r="AY60">
        <f t="shared" si="26"/>
        <v>2.7475130270014213E-2</v>
      </c>
      <c r="AZ60" s="10">
        <f t="shared" si="26"/>
        <v>5.0969131371141424E-2</v>
      </c>
      <c r="BA60" s="10">
        <f t="shared" si="26"/>
        <v>5.0522648083623695E-2</v>
      </c>
      <c r="BB60" s="10">
        <f t="shared" si="26"/>
        <v>5.2951388888888888E-2</v>
      </c>
      <c r="BC60" s="10">
        <f t="shared" si="26"/>
        <v>4.4982698961937718E-2</v>
      </c>
      <c r="BD60" s="10">
        <f t="shared" si="26"/>
        <v>4.8060708263069137E-2</v>
      </c>
      <c r="BE60">
        <f t="shared" si="26"/>
        <v>5.9698730709533562E-2</v>
      </c>
      <c r="BF60">
        <f t="shared" si="26"/>
        <v>4.0247547706109187E-2</v>
      </c>
      <c r="BG60">
        <f t="shared" si="26"/>
        <v>5.2678108643929307E-2</v>
      </c>
      <c r="BH60">
        <f t="shared" si="26"/>
        <v>3.6688819526135959E-2</v>
      </c>
      <c r="BI60">
        <f t="shared" si="26"/>
        <v>5.7374853604464794E-2</v>
      </c>
      <c r="BJ60">
        <f t="shared" si="26"/>
        <v>4.2289652209479403E-2</v>
      </c>
      <c r="BK60">
        <f t="shared" si="26"/>
        <v>4.1345226885356266E-2</v>
      </c>
      <c r="BL60">
        <f t="shared" si="26"/>
        <v>4.7827183506142526E-2</v>
      </c>
      <c r="BM60">
        <f t="shared" si="26"/>
        <v>5.9206685217153159E-2</v>
      </c>
      <c r="BN60">
        <f t="shared" ref="BN60:DD62" si="27">+BN12/BN34</f>
        <v>6.6422421966260539E-2</v>
      </c>
      <c r="BO60">
        <f t="shared" si="27"/>
        <v>6.0513579886776699E-2</v>
      </c>
      <c r="BP60">
        <f t="shared" si="27"/>
        <v>5.0559672642750596E-2</v>
      </c>
      <c r="BQ60">
        <f t="shared" si="27"/>
        <v>4.7166320220968942E-2</v>
      </c>
      <c r="BR60">
        <f t="shared" si="27"/>
        <v>4.9468105048215971E-2</v>
      </c>
      <c r="BS60">
        <f t="shared" si="27"/>
        <v>4.6095839923414206E-2</v>
      </c>
      <c r="BT60">
        <f t="shared" si="27"/>
        <v>4.2741935483870966E-2</v>
      </c>
      <c r="BU60">
        <f t="shared" si="27"/>
        <v>4.3200000000000002E-2</v>
      </c>
      <c r="BV60">
        <f t="shared" si="27"/>
        <v>3.6134453781512609E-2</v>
      </c>
      <c r="BW60">
        <f t="shared" si="27"/>
        <v>3.0578512396694214E-2</v>
      </c>
      <c r="BX60">
        <f t="shared" si="27"/>
        <v>4.5192307692307691E-2</v>
      </c>
      <c r="BY60">
        <f t="shared" si="27"/>
        <v>3.9830508474576268E-2</v>
      </c>
      <c r="BZ60">
        <f t="shared" si="27"/>
        <v>3.7704918032786888E-2</v>
      </c>
      <c r="CA60">
        <f t="shared" si="27"/>
        <v>3.87736699729486E-2</v>
      </c>
      <c r="CB60">
        <f t="shared" si="27"/>
        <v>3.7137681159420288E-2</v>
      </c>
      <c r="CC60">
        <f t="shared" si="27"/>
        <v>2.2637795275590553E-2</v>
      </c>
      <c r="CD60">
        <f t="shared" si="27"/>
        <v>2.3307436182019976E-2</v>
      </c>
      <c r="CE60">
        <f t="shared" si="27"/>
        <v>3.9112050739957716E-2</v>
      </c>
      <c r="CF60">
        <f t="shared" si="27"/>
        <v>3.4334763948497854E-2</v>
      </c>
      <c r="CG60">
        <f t="shared" si="27"/>
        <v>2.4390243902439025E-2</v>
      </c>
      <c r="CH60">
        <f t="shared" si="27"/>
        <v>2.88659793814433E-2</v>
      </c>
      <c r="CI60">
        <f t="shared" si="27"/>
        <v>3.3081285444234401E-2</v>
      </c>
      <c r="CJ60">
        <f t="shared" si="27"/>
        <v>3.6644165863066541E-2</v>
      </c>
      <c r="CK60">
        <f t="shared" si="27"/>
        <v>2.3809523809523808E-2</v>
      </c>
      <c r="CL60">
        <f t="shared" si="27"/>
        <v>1.8339768339768341E-2</v>
      </c>
      <c r="CM60">
        <f t="shared" si="27"/>
        <v>1.6314779270633396E-2</v>
      </c>
      <c r="CN60">
        <f t="shared" si="27"/>
        <v>2.0054694621695533E-2</v>
      </c>
      <c r="CO60">
        <f t="shared" si="27"/>
        <v>1.4177693761814745E-2</v>
      </c>
      <c r="CP60">
        <f t="shared" si="27"/>
        <v>1.6146393972012917E-2</v>
      </c>
      <c r="CQ60">
        <f t="shared" si="27"/>
        <v>1.2727272727272728E-2</v>
      </c>
      <c r="CR60">
        <f t="shared" si="27"/>
        <v>2.1428571428571429E-2</v>
      </c>
      <c r="CS60">
        <f t="shared" si="25"/>
        <v>2.3517382413087935E-2</v>
      </c>
      <c r="CT60">
        <f t="shared" si="22"/>
        <v>1.7382413087934562E-2</v>
      </c>
      <c r="CU60">
        <f t="shared" si="27"/>
        <v>1.3901760889712697E-2</v>
      </c>
      <c r="CV60">
        <f t="shared" si="27"/>
        <v>1.4760147601476014E-2</v>
      </c>
      <c r="CW60">
        <f t="shared" si="27"/>
        <v>8.1383519837232958E-3</v>
      </c>
      <c r="CX60">
        <f t="shared" si="27"/>
        <v>8.658008658008658E-3</v>
      </c>
      <c r="CY60">
        <f t="shared" si="27"/>
        <v>1.2035010940919038E-2</v>
      </c>
      <c r="CZ60">
        <f t="shared" si="27"/>
        <v>1.5945330296127564E-2</v>
      </c>
      <c r="DA60">
        <f t="shared" si="27"/>
        <v>2.1028037383177569E-2</v>
      </c>
      <c r="DB60">
        <f t="shared" si="27"/>
        <v>1.0123734533183352E-2</v>
      </c>
      <c r="DC60">
        <f t="shared" si="27"/>
        <v>1.3613861386138614E-2</v>
      </c>
      <c r="DD60">
        <f t="shared" si="27"/>
        <v>1.1124845488257108E-2</v>
      </c>
      <c r="DE60">
        <f t="shared" si="19"/>
        <v>8.7939698492462311E-3</v>
      </c>
      <c r="DF60">
        <f t="shared" si="19"/>
        <v>6.5616797900262466E-3</v>
      </c>
      <c r="DG60">
        <f t="shared" si="19"/>
        <v>1.1004126547455296E-2</v>
      </c>
      <c r="DH60">
        <f t="shared" si="19"/>
        <v>5.8139534883720929E-3</v>
      </c>
      <c r="DI60">
        <f t="shared" si="19"/>
        <v>5.5172413793103444E-3</v>
      </c>
      <c r="DJ60">
        <f t="shared" si="19"/>
        <v>1.8018018018018018E-2</v>
      </c>
      <c r="DK60">
        <f t="shared" si="19"/>
        <v>1.4945652173913044E-2</v>
      </c>
      <c r="DL60">
        <f t="shared" si="19"/>
        <v>8.1855388813096858E-3</v>
      </c>
      <c r="DM60">
        <f t="shared" si="19"/>
        <v>6.3451776649746192E-3</v>
      </c>
      <c r="DN60">
        <f t="shared" si="19"/>
        <v>1.6736401673640166E-2</v>
      </c>
      <c r="DO60">
        <f t="shared" si="19"/>
        <v>3.0534351145038168E-3</v>
      </c>
      <c r="DP60">
        <f t="shared" si="19"/>
        <v>8.1433224755700327E-3</v>
      </c>
      <c r="DQ60">
        <f t="shared" si="19"/>
        <v>1.7482517482517483E-3</v>
      </c>
      <c r="DR60">
        <f t="shared" si="19"/>
        <v>3.9447731755424065E-3</v>
      </c>
      <c r="DS60">
        <f t="shared" si="19"/>
        <v>1.348747591522158E-2</v>
      </c>
      <c r="DU60">
        <f t="shared" si="20"/>
        <v>8.9994010209177473E-3</v>
      </c>
    </row>
    <row r="61" spans="1:125" x14ac:dyDescent="0.35">
      <c r="A61" t="s">
        <v>11</v>
      </c>
      <c r="B61">
        <f t="shared" si="26"/>
        <v>0.10484780157835401</v>
      </c>
      <c r="C61">
        <f t="shared" si="26"/>
        <v>7.9347826086956522E-2</v>
      </c>
      <c r="D61">
        <f t="shared" si="26"/>
        <v>5.0632911392405063E-2</v>
      </c>
      <c r="E61">
        <f t="shared" si="26"/>
        <v>0.10075839653304441</v>
      </c>
      <c r="F61">
        <f t="shared" si="26"/>
        <v>9.1538052155401811E-2</v>
      </c>
      <c r="G61">
        <f t="shared" si="26"/>
        <v>8.263598326359832E-2</v>
      </c>
      <c r="H61">
        <f t="shared" si="26"/>
        <v>8.8922764227642281E-2</v>
      </c>
      <c r="I61">
        <f t="shared" si="26"/>
        <v>9.4861660079051377E-2</v>
      </c>
      <c r="J61">
        <f t="shared" si="26"/>
        <v>9.6172718351324835E-2</v>
      </c>
      <c r="K61">
        <f t="shared" si="26"/>
        <v>8.7643678160919544E-2</v>
      </c>
      <c r="L61">
        <f t="shared" si="26"/>
        <v>7.9513564078578111E-2</v>
      </c>
      <c r="M61">
        <f t="shared" si="26"/>
        <v>9.8991750687442717E-2</v>
      </c>
      <c r="N61">
        <f t="shared" si="26"/>
        <v>0.10714285714285714</v>
      </c>
      <c r="O61">
        <f t="shared" si="26"/>
        <v>7.1047957371225573E-2</v>
      </c>
      <c r="P61">
        <f t="shared" si="26"/>
        <v>8.5106382978723402E-2</v>
      </c>
      <c r="Q61">
        <f t="shared" si="26"/>
        <v>7.1818181818181823E-2</v>
      </c>
      <c r="R61">
        <f t="shared" si="26"/>
        <v>0.10607521697203472</v>
      </c>
      <c r="S61">
        <f t="shared" si="26"/>
        <v>9.0410958904109592E-2</v>
      </c>
      <c r="T61">
        <f t="shared" si="26"/>
        <v>7.4823943661971828E-2</v>
      </c>
      <c r="U61">
        <f t="shared" si="26"/>
        <v>9.4138543516873896E-2</v>
      </c>
      <c r="V61">
        <f t="shared" si="26"/>
        <v>0.10820559062218214</v>
      </c>
      <c r="W61">
        <f t="shared" si="26"/>
        <v>8.1996434937611412E-2</v>
      </c>
      <c r="X61">
        <f t="shared" si="26"/>
        <v>6.6151202749140894E-2</v>
      </c>
      <c r="Y61">
        <f t="shared" si="26"/>
        <v>7.9734219269102985E-2</v>
      </c>
      <c r="Z61">
        <f t="shared" si="26"/>
        <v>9.8984771573604066E-2</v>
      </c>
      <c r="AA61">
        <f t="shared" si="26"/>
        <v>0.11320754716981132</v>
      </c>
      <c r="AB61">
        <f t="shared" si="26"/>
        <v>8.1166272655634364E-2</v>
      </c>
      <c r="AC61">
        <f t="shared" si="26"/>
        <v>0.11263073209975864</v>
      </c>
      <c r="AD61">
        <f t="shared" si="26"/>
        <v>9.8234842670759784E-2</v>
      </c>
      <c r="AE61">
        <f t="shared" si="26"/>
        <v>8.1679389312977094E-2</v>
      </c>
      <c r="AF61">
        <f t="shared" si="26"/>
        <v>7.6014760147601473E-2</v>
      </c>
      <c r="AG61">
        <f t="shared" si="26"/>
        <v>0.1111111111111111</v>
      </c>
      <c r="AH61">
        <f t="shared" si="26"/>
        <v>8.2980524978831502E-2</v>
      </c>
      <c r="AI61">
        <f t="shared" si="26"/>
        <v>9.1584158415841582E-2</v>
      </c>
      <c r="AJ61">
        <f t="shared" si="26"/>
        <v>8.1952920662598086E-2</v>
      </c>
      <c r="AK61">
        <f t="shared" si="26"/>
        <v>7.0205479452054798E-2</v>
      </c>
      <c r="AL61">
        <f t="shared" si="26"/>
        <v>9.0990990990990991E-2</v>
      </c>
      <c r="AM61">
        <f t="shared" si="26"/>
        <v>6.6911090742438131E-2</v>
      </c>
      <c r="AN61">
        <f t="shared" si="26"/>
        <v>7.6997112608277185E-2</v>
      </c>
      <c r="AO61">
        <f t="shared" si="26"/>
        <v>8.2604470359572399E-2</v>
      </c>
      <c r="AP61">
        <f t="shared" si="26"/>
        <v>7.4038461538461539E-2</v>
      </c>
      <c r="AQ61">
        <f t="shared" si="26"/>
        <v>8.0428954423592491E-2</v>
      </c>
      <c r="AR61">
        <f t="shared" si="26"/>
        <v>8.9866156787762913E-2</v>
      </c>
      <c r="AS61">
        <f t="shared" si="26"/>
        <v>5.6530214424951264E-2</v>
      </c>
      <c r="AT61">
        <f t="shared" si="26"/>
        <v>4.4204322200392929E-2</v>
      </c>
      <c r="AU61">
        <f t="shared" si="26"/>
        <v>4.5666356011183594E-2</v>
      </c>
      <c r="AV61">
        <f t="shared" si="26"/>
        <v>5.2427184466019419E-2</v>
      </c>
      <c r="AW61">
        <f t="shared" si="26"/>
        <v>4.0094339622641507E-2</v>
      </c>
      <c r="AX61">
        <f t="shared" si="26"/>
        <v>4.1728763040238454E-2</v>
      </c>
      <c r="AY61">
        <f t="shared" si="26"/>
        <v>3.415409054805401E-2</v>
      </c>
      <c r="AZ61" s="10">
        <f t="shared" si="26"/>
        <v>4.8096192384769539E-2</v>
      </c>
      <c r="BA61" s="10">
        <f t="shared" si="26"/>
        <v>4.4032444959443799E-2</v>
      </c>
      <c r="BB61" s="10">
        <f t="shared" si="26"/>
        <v>4.8635824436536183E-2</v>
      </c>
      <c r="BC61" s="10">
        <f t="shared" si="26"/>
        <v>4.9539170506912443E-2</v>
      </c>
      <c r="BD61" s="10">
        <f t="shared" si="26"/>
        <v>4.6893317702227433E-2</v>
      </c>
      <c r="BE61">
        <f t="shared" si="26"/>
        <v>3.6703812356767999E-2</v>
      </c>
      <c r="BF61">
        <f t="shared" si="26"/>
        <v>4.1521511101795978E-2</v>
      </c>
      <c r="BG61">
        <f t="shared" si="26"/>
        <v>6.2583019182547717E-2</v>
      </c>
      <c r="BH61">
        <f t="shared" si="26"/>
        <v>4.726553309343675E-2</v>
      </c>
      <c r="BI61">
        <f t="shared" si="26"/>
        <v>7.0416902199810033E-2</v>
      </c>
      <c r="BJ61">
        <f t="shared" si="26"/>
        <v>4.1131290235428442E-2</v>
      </c>
      <c r="BK61">
        <f t="shared" si="26"/>
        <v>5.231496198704623E-2</v>
      </c>
      <c r="BL61">
        <f t="shared" si="26"/>
        <v>5.6105786522355101E-2</v>
      </c>
      <c r="BM61">
        <f t="shared" si="26"/>
        <v>6.452348716674644E-2</v>
      </c>
      <c r="BN61">
        <f t="shared" si="27"/>
        <v>3.9573325501214368E-2</v>
      </c>
      <c r="BO61">
        <f t="shared" si="27"/>
        <v>5.7155124508140559E-2</v>
      </c>
      <c r="BP61">
        <f t="shared" si="27"/>
        <v>4.6900455227459809E-2</v>
      </c>
      <c r="BQ61">
        <f t="shared" si="27"/>
        <v>4.1474561325640549E-2</v>
      </c>
      <c r="BR61">
        <f t="shared" si="27"/>
        <v>5.4391961596330501E-2</v>
      </c>
      <c r="BS61">
        <f t="shared" si="27"/>
        <v>5.1526926219905587E-2</v>
      </c>
      <c r="BT61">
        <f t="shared" si="27"/>
        <v>4.8760330578512395E-2</v>
      </c>
      <c r="BU61">
        <f t="shared" si="27"/>
        <v>3.888888888888889E-2</v>
      </c>
      <c r="BV61">
        <f t="shared" si="27"/>
        <v>4.06015037593985E-2</v>
      </c>
      <c r="BW61">
        <f t="shared" si="27"/>
        <v>3.8095238095238099E-2</v>
      </c>
      <c r="BX61">
        <f t="shared" si="27"/>
        <v>2.7397260273972601E-2</v>
      </c>
      <c r="BY61">
        <f t="shared" si="27"/>
        <v>4.4827586206896551E-2</v>
      </c>
      <c r="BZ61">
        <f t="shared" si="27"/>
        <v>3.6305732484076432E-2</v>
      </c>
      <c r="CA61">
        <f t="shared" si="27"/>
        <v>3.9405684754521962E-2</v>
      </c>
      <c r="CB61">
        <f t="shared" si="27"/>
        <v>3.5087719298245612E-2</v>
      </c>
      <c r="CC61">
        <f t="shared" si="27"/>
        <v>2.3767082590612002E-2</v>
      </c>
      <c r="CD61">
        <f t="shared" si="27"/>
        <v>3.4813925570228089E-2</v>
      </c>
      <c r="CE61">
        <f t="shared" si="27"/>
        <v>2.9152915291529153E-2</v>
      </c>
      <c r="CF61">
        <f t="shared" si="27"/>
        <v>2.2783251231527094E-2</v>
      </c>
      <c r="CG61">
        <f t="shared" si="27"/>
        <v>3.1685678073510776E-2</v>
      </c>
      <c r="CH61">
        <f t="shared" si="27"/>
        <v>2.5830258302583026E-2</v>
      </c>
      <c r="CI61">
        <f t="shared" si="27"/>
        <v>3.272727272727273E-2</v>
      </c>
      <c r="CJ61">
        <f t="shared" si="27"/>
        <v>2.485549132947977E-2</v>
      </c>
      <c r="CK61">
        <f t="shared" si="27"/>
        <v>2.1337946943483274E-2</v>
      </c>
      <c r="CL61">
        <f t="shared" si="27"/>
        <v>1.7299107142857144E-2</v>
      </c>
      <c r="CM61">
        <f t="shared" si="27"/>
        <v>1.579520697167756E-2</v>
      </c>
      <c r="CN61">
        <f t="shared" si="27"/>
        <v>1.829924650161464E-2</v>
      </c>
      <c r="CO61">
        <f t="shared" si="27"/>
        <v>2.0439448134900357E-2</v>
      </c>
      <c r="CP61">
        <f t="shared" si="27"/>
        <v>1.942690626517727E-2</v>
      </c>
      <c r="CQ61">
        <f t="shared" si="27"/>
        <v>1.566696508504924E-2</v>
      </c>
      <c r="CR61">
        <f t="shared" si="27"/>
        <v>1.8867924528301886E-2</v>
      </c>
      <c r="CS61">
        <f t="shared" si="25"/>
        <v>1.6427969671440605E-2</v>
      </c>
      <c r="CT61">
        <f t="shared" si="22"/>
        <v>1.5585509688289806E-2</v>
      </c>
      <c r="CU61">
        <f t="shared" si="27"/>
        <v>1.3124470787468248E-2</v>
      </c>
      <c r="CV61">
        <f t="shared" si="27"/>
        <v>1.2746710526315789E-2</v>
      </c>
      <c r="CW61">
        <f t="shared" si="27"/>
        <v>1.5944399018806215E-2</v>
      </c>
      <c r="CX61">
        <f t="shared" si="27"/>
        <v>1.7820980153908466E-2</v>
      </c>
      <c r="CY61">
        <f t="shared" si="27"/>
        <v>1.3738551207327226E-2</v>
      </c>
      <c r="CZ61">
        <f t="shared" si="27"/>
        <v>1.4675052410901468E-2</v>
      </c>
      <c r="DA61">
        <f t="shared" si="27"/>
        <v>1.2809187279151944E-2</v>
      </c>
      <c r="DB61">
        <f t="shared" si="27"/>
        <v>1.5002143163309044E-2</v>
      </c>
      <c r="DC61">
        <f t="shared" si="27"/>
        <v>1.3924050632911392E-2</v>
      </c>
      <c r="DD61">
        <f t="shared" si="27"/>
        <v>1.0008340283569641E-2</v>
      </c>
      <c r="DE61">
        <f t="shared" si="19"/>
        <v>9.3155123531794247E-3</v>
      </c>
      <c r="DF61">
        <f t="shared" si="19"/>
        <v>9.1248444628784734E-3</v>
      </c>
      <c r="DG61">
        <f t="shared" si="19"/>
        <v>8.8960776384957533E-3</v>
      </c>
      <c r="DH61">
        <f t="shared" si="19"/>
        <v>4.1999160016799666E-3</v>
      </c>
      <c r="DI61">
        <f t="shared" si="19"/>
        <v>6.7396798652064023E-3</v>
      </c>
      <c r="DJ61">
        <f t="shared" si="19"/>
        <v>1.0356731875719217E-2</v>
      </c>
      <c r="DK61">
        <f t="shared" si="19"/>
        <v>6.5813528336380253E-3</v>
      </c>
      <c r="DL61">
        <f t="shared" si="19"/>
        <v>7.2519083969465646E-3</v>
      </c>
      <c r="DM61">
        <f t="shared" si="19"/>
        <v>6.216006216006216E-3</v>
      </c>
      <c r="DN61">
        <f t="shared" si="19"/>
        <v>7.5156576200417534E-3</v>
      </c>
      <c r="DO61">
        <f t="shared" si="19"/>
        <v>5.9523809523809521E-3</v>
      </c>
      <c r="DP61">
        <f t="shared" si="19"/>
        <v>5.893909626719057E-3</v>
      </c>
      <c r="DQ61">
        <f t="shared" si="19"/>
        <v>4.5431600201918223E-3</v>
      </c>
      <c r="DR61">
        <f t="shared" si="19"/>
        <v>8.6206896551724137E-3</v>
      </c>
      <c r="DS61">
        <f t="shared" si="19"/>
        <v>2.7533039647577094E-3</v>
      </c>
      <c r="DU61">
        <f t="shared" si="20"/>
        <v>7.3282484390466618E-3</v>
      </c>
    </row>
    <row r="62" spans="1:125" x14ac:dyDescent="0.35">
      <c r="A62" t="s">
        <v>12</v>
      </c>
      <c r="B62">
        <f t="shared" si="26"/>
        <v>0.1008668242710796</v>
      </c>
      <c r="C62">
        <f t="shared" si="26"/>
        <v>0.11186696900982615</v>
      </c>
      <c r="D62">
        <f t="shared" si="26"/>
        <v>0.1164972634870993</v>
      </c>
      <c r="E62">
        <f t="shared" si="26"/>
        <v>0.1005251312828207</v>
      </c>
      <c r="F62">
        <f t="shared" si="26"/>
        <v>8.7593984962406016E-2</v>
      </c>
      <c r="G62">
        <f t="shared" si="26"/>
        <v>7.4604370761115299E-2</v>
      </c>
      <c r="H62">
        <f t="shared" si="26"/>
        <v>9.2248062015503882E-2</v>
      </c>
      <c r="I62">
        <f t="shared" si="26"/>
        <v>0.11093375897845172</v>
      </c>
      <c r="J62">
        <f t="shared" si="26"/>
        <v>0.12201963534361851</v>
      </c>
      <c r="K62">
        <f t="shared" si="26"/>
        <v>0.11304656949875577</v>
      </c>
      <c r="L62">
        <f t="shared" si="26"/>
        <v>0.10382119682768565</v>
      </c>
      <c r="M62">
        <f t="shared" si="26"/>
        <v>0.13626373626373625</v>
      </c>
      <c r="N62">
        <f t="shared" si="26"/>
        <v>0.11012311901504789</v>
      </c>
      <c r="O62">
        <f t="shared" si="26"/>
        <v>9.6354166666666671E-2</v>
      </c>
      <c r="P62">
        <f t="shared" si="26"/>
        <v>8.9285714285714288E-2</v>
      </c>
      <c r="Q62">
        <f t="shared" si="26"/>
        <v>0.10732984293193717</v>
      </c>
      <c r="R62">
        <f t="shared" si="26"/>
        <v>0.16628527841342486</v>
      </c>
      <c r="S62">
        <f t="shared" si="26"/>
        <v>0.13515509601181683</v>
      </c>
      <c r="T62">
        <f t="shared" si="26"/>
        <v>0.11373390557939914</v>
      </c>
      <c r="U62">
        <f t="shared" si="26"/>
        <v>9.5032397408207347E-2</v>
      </c>
      <c r="V62">
        <f t="shared" si="26"/>
        <v>0.11655172413793104</v>
      </c>
      <c r="W62">
        <f t="shared" si="26"/>
        <v>0.13461538461538461</v>
      </c>
      <c r="X62">
        <f t="shared" si="26"/>
        <v>8.1529581529581535E-2</v>
      </c>
      <c r="Y62">
        <f t="shared" si="26"/>
        <v>8.9349535382416009E-2</v>
      </c>
      <c r="Z62">
        <f t="shared" si="26"/>
        <v>0.10902777777777778</v>
      </c>
      <c r="AA62">
        <f t="shared" si="26"/>
        <v>9.6416938110749181E-2</v>
      </c>
      <c r="AB62">
        <f t="shared" si="26"/>
        <v>9.7592713077423551E-2</v>
      </c>
      <c r="AC62">
        <f t="shared" si="26"/>
        <v>7.1086807928913198E-2</v>
      </c>
      <c r="AD62">
        <f t="shared" si="26"/>
        <v>8.9902280130293166E-2</v>
      </c>
      <c r="AE62">
        <f t="shared" si="26"/>
        <v>7.1041948579161032E-2</v>
      </c>
      <c r="AF62">
        <f t="shared" si="26"/>
        <v>7.8680203045685279E-2</v>
      </c>
      <c r="AG62">
        <f t="shared" si="26"/>
        <v>9.6224116930572479E-2</v>
      </c>
      <c r="AH62">
        <f t="shared" si="26"/>
        <v>9.2152199762187872E-2</v>
      </c>
      <c r="AI62">
        <f t="shared" si="26"/>
        <v>7.7538461538461542E-2</v>
      </c>
      <c r="AJ62">
        <f t="shared" si="26"/>
        <v>8.0141426045963471E-2</v>
      </c>
      <c r="AK62">
        <f t="shared" si="26"/>
        <v>0.10379596678529063</v>
      </c>
      <c r="AL62">
        <f t="shared" si="26"/>
        <v>6.4910025706940877E-2</v>
      </c>
      <c r="AM62">
        <f t="shared" si="26"/>
        <v>7.8750000000000001E-2</v>
      </c>
      <c r="AN62">
        <f t="shared" si="26"/>
        <v>9.2557848655409627E-2</v>
      </c>
      <c r="AO62">
        <f t="shared" si="26"/>
        <v>7.2252580449301759E-2</v>
      </c>
      <c r="AP62">
        <f t="shared" si="26"/>
        <v>6.9515669515669509E-2</v>
      </c>
      <c r="AQ62">
        <f t="shared" si="26"/>
        <v>9.1917591125198095E-2</v>
      </c>
      <c r="AR62">
        <f t="shared" si="26"/>
        <v>7.8066914498141265E-2</v>
      </c>
      <c r="AS62">
        <f t="shared" si="26"/>
        <v>7.4138937536485691E-2</v>
      </c>
      <c r="AT62">
        <f t="shared" si="26"/>
        <v>5.2169421487603305E-2</v>
      </c>
      <c r="AU62">
        <f t="shared" si="26"/>
        <v>4.9431537320810674E-2</v>
      </c>
      <c r="AV62">
        <f t="shared" si="26"/>
        <v>6.4569536423841056E-2</v>
      </c>
      <c r="AW62">
        <f t="shared" si="26"/>
        <v>6.4467766116941536E-2</v>
      </c>
      <c r="AX62">
        <f t="shared" si="26"/>
        <v>4.5708955223880597E-2</v>
      </c>
      <c r="AY62">
        <f t="shared" si="26"/>
        <v>3.7520391517128875E-2</v>
      </c>
      <c r="AZ62" s="10">
        <f t="shared" si="26"/>
        <v>7.3324905183312264E-2</v>
      </c>
      <c r="BA62" s="10">
        <f t="shared" si="26"/>
        <v>6.7231980617807385E-2</v>
      </c>
      <c r="BB62" s="10">
        <f t="shared" si="26"/>
        <v>6.2978222483814003E-2</v>
      </c>
      <c r="BC62" s="10">
        <f t="shared" si="26"/>
        <v>8.1828442437923254E-2</v>
      </c>
      <c r="BD62" s="10">
        <f t="shared" si="26"/>
        <v>5.9725158562367868E-2</v>
      </c>
      <c r="BE62">
        <f t="shared" si="26"/>
        <v>4.3674936332218785E-2</v>
      </c>
      <c r="BF62">
        <f t="shared" si="26"/>
        <v>6.2400339382908079E-2</v>
      </c>
      <c r="BG62">
        <f t="shared" si="26"/>
        <v>8.3523625157453624E-2</v>
      </c>
      <c r="BH62">
        <f t="shared" si="26"/>
        <v>6.6325445007009376E-2</v>
      </c>
      <c r="BI62">
        <f t="shared" si="26"/>
        <v>6.9628259333725379E-2</v>
      </c>
      <c r="BJ62">
        <f t="shared" si="26"/>
        <v>6.8974112235385313E-2</v>
      </c>
      <c r="BK62">
        <f t="shared" si="26"/>
        <v>6.6438048373812716E-2</v>
      </c>
      <c r="BL62">
        <f t="shared" si="26"/>
        <v>4.44982686280678E-2</v>
      </c>
      <c r="BM62">
        <f t="shared" si="26"/>
        <v>3.5110477198322186E-2</v>
      </c>
      <c r="BN62">
        <f t="shared" si="27"/>
        <v>4.0370361929334644E-2</v>
      </c>
      <c r="BO62">
        <f t="shared" si="27"/>
        <v>4.8979826103178678E-2</v>
      </c>
      <c r="BP62">
        <f t="shared" si="27"/>
        <v>4.2539703870853367E-2</v>
      </c>
      <c r="BQ62">
        <f t="shared" si="27"/>
        <v>4.1847410471685949E-2</v>
      </c>
      <c r="BR62">
        <f t="shared" si="27"/>
        <v>3.4445341289265879E-2</v>
      </c>
      <c r="BS62">
        <f t="shared" si="27"/>
        <v>3.9669981630988747E-2</v>
      </c>
      <c r="BT62">
        <f t="shared" si="27"/>
        <v>4.4715447154471545E-2</v>
      </c>
      <c r="BU62">
        <f t="shared" si="27"/>
        <v>3.650793650793651E-2</v>
      </c>
      <c r="BV62">
        <f t="shared" si="27"/>
        <v>4.6835443037974683E-2</v>
      </c>
      <c r="BW62">
        <f t="shared" si="27"/>
        <v>4.6586345381526104E-2</v>
      </c>
      <c r="BX62">
        <f t="shared" si="27"/>
        <v>5.0649350649350652E-2</v>
      </c>
      <c r="BY62">
        <f t="shared" si="27"/>
        <v>5.9915611814345994E-2</v>
      </c>
      <c r="BZ62">
        <f t="shared" si="27"/>
        <v>4.3697478991596636E-2</v>
      </c>
      <c r="CA62">
        <f t="shared" si="27"/>
        <v>5.1337359792924933E-2</v>
      </c>
      <c r="CB62">
        <f t="shared" si="27"/>
        <v>4.3478260869565216E-2</v>
      </c>
      <c r="CC62">
        <f t="shared" si="27"/>
        <v>4.505994212484498E-2</v>
      </c>
      <c r="CD62">
        <f t="shared" si="27"/>
        <v>3.5698737483674359E-2</v>
      </c>
      <c r="CE62">
        <f t="shared" si="27"/>
        <v>3.1207598371777476E-2</v>
      </c>
      <c r="CF62">
        <f t="shared" si="27"/>
        <v>2.7765134274010013E-2</v>
      </c>
      <c r="CG62">
        <f t="shared" si="27"/>
        <v>2.7347310847766638E-2</v>
      </c>
      <c r="CH62">
        <f t="shared" si="27"/>
        <v>2.9193697868396665E-2</v>
      </c>
      <c r="CI62">
        <f t="shared" si="27"/>
        <v>3.5191956124314444E-2</v>
      </c>
      <c r="CJ62">
        <f t="shared" si="27"/>
        <v>4.003371260008428E-2</v>
      </c>
      <c r="CK62">
        <f t="shared" si="27"/>
        <v>3.216911764705882E-2</v>
      </c>
      <c r="CL62">
        <f t="shared" si="27"/>
        <v>2.8866867729426971E-2</v>
      </c>
      <c r="CM62">
        <f t="shared" si="27"/>
        <v>2.9279279279279279E-2</v>
      </c>
      <c r="CN62">
        <f>+CN14/CN36</f>
        <v>2.6362038664323375E-2</v>
      </c>
      <c r="CO62">
        <f t="shared" si="27"/>
        <v>2.0563254358515869E-2</v>
      </c>
      <c r="CP62">
        <f t="shared" si="27"/>
        <v>1.7034990791896871E-2</v>
      </c>
      <c r="CQ62">
        <f t="shared" si="27"/>
        <v>1.9667832167832168E-2</v>
      </c>
      <c r="CR62">
        <f t="shared" si="27"/>
        <v>2.0833333333333332E-2</v>
      </c>
      <c r="CS62">
        <f t="shared" si="25"/>
        <v>2.5221238938053097E-2</v>
      </c>
      <c r="CT62">
        <f t="shared" si="22"/>
        <v>2.0353982300884955E-2</v>
      </c>
      <c r="CU62">
        <f t="shared" si="27"/>
        <v>1.3236549957301452E-2</v>
      </c>
      <c r="CV62">
        <f t="shared" si="27"/>
        <v>1.4119601328903655E-2</v>
      </c>
      <c r="CW62">
        <f t="shared" si="27"/>
        <v>1.5138408304498269E-2</v>
      </c>
      <c r="CX62">
        <f t="shared" si="27"/>
        <v>1.2809187279151944E-2</v>
      </c>
      <c r="CY62">
        <f t="shared" si="27"/>
        <v>1.3605442176870748E-2</v>
      </c>
      <c r="CZ62">
        <f t="shared" si="27"/>
        <v>1.5194681861348529E-2</v>
      </c>
      <c r="DA62">
        <f t="shared" si="27"/>
        <v>1.4215686274509804E-2</v>
      </c>
      <c r="DB62">
        <f t="shared" si="27"/>
        <v>8.2564351627003405E-3</v>
      </c>
      <c r="DC62">
        <f t="shared" si="27"/>
        <v>8.831168831168832E-3</v>
      </c>
      <c r="DD62">
        <f t="shared" si="27"/>
        <v>1.1055831951354339E-2</v>
      </c>
      <c r="DE62">
        <f t="shared" si="19"/>
        <v>1.1387163561076604E-2</v>
      </c>
      <c r="DF62">
        <f t="shared" si="19"/>
        <v>8.6814975583288118E-3</v>
      </c>
      <c r="DG62">
        <f t="shared" si="19"/>
        <v>1.0600706713780919E-2</v>
      </c>
      <c r="DH62">
        <f t="shared" si="19"/>
        <v>8.6157380815623207E-3</v>
      </c>
      <c r="DI62">
        <f t="shared" si="19"/>
        <v>1.0365853658536586E-2</v>
      </c>
      <c r="DJ62">
        <f t="shared" si="19"/>
        <v>7.9863091842555627E-3</v>
      </c>
      <c r="DK62">
        <f t="shared" si="19"/>
        <v>1.0050251256281407E-2</v>
      </c>
      <c r="DL62">
        <f t="shared" si="19"/>
        <v>4.7086521483225424E-3</v>
      </c>
      <c r="DM62">
        <f t="shared" si="19"/>
        <v>8.5242408098028764E-3</v>
      </c>
      <c r="DN62">
        <f t="shared" si="19"/>
        <v>6.138392857142857E-3</v>
      </c>
      <c r="DO62">
        <f t="shared" si="19"/>
        <v>5.6039850560398504E-3</v>
      </c>
      <c r="DP62">
        <f t="shared" si="19"/>
        <v>6.3371356147021544E-3</v>
      </c>
      <c r="DQ62">
        <f t="shared" si="19"/>
        <v>6.2370062370062374E-3</v>
      </c>
      <c r="DR62">
        <f t="shared" si="19"/>
        <v>3.7650602409638554E-3</v>
      </c>
      <c r="DS62">
        <f t="shared" si="19"/>
        <v>8.658008658008658E-3</v>
      </c>
      <c r="DU62">
        <f t="shared" si="20"/>
        <v>8.3066260491566485E-3</v>
      </c>
    </row>
    <row r="63" spans="1:125" x14ac:dyDescent="0.35">
      <c r="A63" t="s">
        <v>13</v>
      </c>
      <c r="B63">
        <f t="shared" si="26"/>
        <v>9.5305832147937405E-2</v>
      </c>
      <c r="C63">
        <f t="shared" si="26"/>
        <v>0.10296191819464035</v>
      </c>
      <c r="D63">
        <f t="shared" si="26"/>
        <v>9.606986899563319E-2</v>
      </c>
      <c r="E63">
        <f t="shared" si="26"/>
        <v>8.2251082251082255E-2</v>
      </c>
      <c r="F63">
        <f t="shared" si="26"/>
        <v>7.9142011834319528E-2</v>
      </c>
      <c r="G63">
        <f t="shared" si="26"/>
        <v>7.5872534142640363E-2</v>
      </c>
      <c r="H63">
        <f t="shared" si="26"/>
        <v>8.4400904295403159E-2</v>
      </c>
      <c r="I63">
        <f t="shared" si="26"/>
        <v>9.2814371257485026E-2</v>
      </c>
      <c r="J63">
        <f t="shared" si="26"/>
        <v>9.5505617977528087E-2</v>
      </c>
      <c r="K63">
        <f t="shared" si="26"/>
        <v>9.7073518915060678E-2</v>
      </c>
      <c r="L63">
        <f t="shared" si="26"/>
        <v>9.8693759071117562E-2</v>
      </c>
      <c r="M63">
        <f t="shared" si="26"/>
        <v>0.11363636363636363</v>
      </c>
      <c r="N63">
        <f t="shared" si="26"/>
        <v>0.10611735330836454</v>
      </c>
      <c r="O63">
        <f t="shared" si="26"/>
        <v>8.5679314565483472E-2</v>
      </c>
      <c r="P63">
        <f t="shared" si="26"/>
        <v>8.0917874396135264E-2</v>
      </c>
      <c r="Q63">
        <f t="shared" si="26"/>
        <v>7.9601990049751242E-2</v>
      </c>
      <c r="R63">
        <f t="shared" si="26"/>
        <v>0.14617169373549885</v>
      </c>
      <c r="S63">
        <f t="shared" si="26"/>
        <v>0.13341645885286782</v>
      </c>
      <c r="T63">
        <f t="shared" si="26"/>
        <v>0.14109742441209405</v>
      </c>
      <c r="U63">
        <f t="shared" si="26"/>
        <v>8.943089430894309E-2</v>
      </c>
      <c r="V63">
        <f t="shared" si="26"/>
        <v>8.658536585365853E-2</v>
      </c>
      <c r="W63">
        <f t="shared" si="26"/>
        <v>7.1887034659820284E-2</v>
      </c>
      <c r="X63">
        <f t="shared" si="26"/>
        <v>7.8521939953810627E-2</v>
      </c>
      <c r="Y63">
        <f t="shared" si="26"/>
        <v>8.7320574162679424E-2</v>
      </c>
      <c r="Z63">
        <f t="shared" si="26"/>
        <v>0.10676156583629894</v>
      </c>
      <c r="AA63">
        <f t="shared" si="26"/>
        <v>0.1207897793263647</v>
      </c>
      <c r="AB63">
        <f t="shared" si="26"/>
        <v>8.5336538461538464E-2</v>
      </c>
      <c r="AC63">
        <f t="shared" si="26"/>
        <v>8.0473372781065089E-2</v>
      </c>
      <c r="AD63">
        <f t="shared" si="26"/>
        <v>0.1111111111111111</v>
      </c>
      <c r="AE63">
        <f t="shared" si="26"/>
        <v>8.9848308051341891E-2</v>
      </c>
      <c r="AF63">
        <f t="shared" si="26"/>
        <v>9.2289719626168221E-2</v>
      </c>
      <c r="AG63">
        <f t="shared" si="26"/>
        <v>9.1915836101882614E-2</v>
      </c>
      <c r="AH63">
        <f t="shared" si="26"/>
        <v>8.0473372781065089E-2</v>
      </c>
      <c r="AI63">
        <f t="shared" si="26"/>
        <v>6.1742006615214992E-2</v>
      </c>
      <c r="AJ63">
        <f t="shared" si="26"/>
        <v>7.6178960096735193E-2</v>
      </c>
      <c r="AK63">
        <f t="shared" si="26"/>
        <v>8.381839348079162E-2</v>
      </c>
      <c r="AL63">
        <f t="shared" si="26"/>
        <v>8.0485115766262397E-2</v>
      </c>
      <c r="AM63">
        <f t="shared" si="26"/>
        <v>9.2485549132947972E-2</v>
      </c>
      <c r="AN63">
        <f t="shared" si="26"/>
        <v>0.11346765641569459</v>
      </c>
      <c r="AO63">
        <f t="shared" si="26"/>
        <v>7.5178997613365162E-2</v>
      </c>
      <c r="AP63">
        <f t="shared" si="26"/>
        <v>0.10400866738894908</v>
      </c>
      <c r="AQ63">
        <f t="shared" si="26"/>
        <v>7.4921956295525491E-2</v>
      </c>
      <c r="AR63">
        <f t="shared" si="26"/>
        <v>0.14002205071664828</v>
      </c>
      <c r="AS63">
        <f t="shared" si="26"/>
        <v>7.3319755600814662E-2</v>
      </c>
      <c r="AT63">
        <f t="shared" si="26"/>
        <v>7.050092764378478E-2</v>
      </c>
      <c r="AU63">
        <f t="shared" si="26"/>
        <v>8.0947680157946691E-2</v>
      </c>
      <c r="AV63">
        <f t="shared" si="26"/>
        <v>8.3608360836083612E-2</v>
      </c>
      <c r="AW63">
        <f t="shared" si="26"/>
        <v>5.1537822111388194E-2</v>
      </c>
      <c r="AX63">
        <f t="shared" si="26"/>
        <v>3.727272727272727E-2</v>
      </c>
      <c r="AY63">
        <f t="shared" si="26"/>
        <v>4.4176706827309238E-2</v>
      </c>
      <c r="AZ63" s="10">
        <f t="shared" si="26"/>
        <v>6.5498154981549817E-2</v>
      </c>
      <c r="BA63" s="10">
        <f t="shared" si="26"/>
        <v>7.792207792207792E-2</v>
      </c>
      <c r="BB63" s="10">
        <f t="shared" si="26"/>
        <v>7.8280044101433299E-2</v>
      </c>
      <c r="BC63" s="10">
        <f t="shared" si="26"/>
        <v>7.7479338842975212E-2</v>
      </c>
      <c r="BD63" s="10">
        <f t="shared" si="26"/>
        <v>6.1946902654867256E-2</v>
      </c>
      <c r="BE63">
        <f t="shared" si="26"/>
        <v>5.904004775954641E-2</v>
      </c>
      <c r="BF63">
        <f t="shared" si="26"/>
        <v>6.1595525786815819E-2</v>
      </c>
      <c r="BG63">
        <f t="shared" si="26"/>
        <v>7.1560025157608897E-2</v>
      </c>
      <c r="BH63">
        <f t="shared" si="26"/>
        <v>4.9615218764233297E-2</v>
      </c>
      <c r="BI63">
        <f t="shared" si="26"/>
        <v>7.92961342668701E-2</v>
      </c>
      <c r="BJ63">
        <f t="shared" si="26"/>
        <v>7.9405488049992159E-2</v>
      </c>
      <c r="BK63">
        <f t="shared" si="26"/>
        <v>6.0135811602141681E-2</v>
      </c>
      <c r="BL63">
        <f t="shared" si="26"/>
        <v>6.4473687480743752E-2</v>
      </c>
      <c r="BM63">
        <f t="shared" ref="BM63:DD69" si="28">+BM15/BM37</f>
        <v>6.5715503861177721E-2</v>
      </c>
      <c r="BN63">
        <f t="shared" si="28"/>
        <v>6.101504934784549E-2</v>
      </c>
      <c r="BO63">
        <f t="shared" si="28"/>
        <v>8.8513199688111915E-2</v>
      </c>
      <c r="BP63">
        <f t="shared" si="28"/>
        <v>4.806821812566648E-2</v>
      </c>
      <c r="BQ63">
        <f t="shared" si="28"/>
        <v>5.701126008990004E-2</v>
      </c>
      <c r="BR63">
        <f t="shared" si="28"/>
        <v>5.8226736579971808E-2</v>
      </c>
      <c r="BS63">
        <f t="shared" si="28"/>
        <v>5.1052242180945416E-2</v>
      </c>
      <c r="BT63">
        <f t="shared" si="28"/>
        <v>4.4036697247706424E-2</v>
      </c>
      <c r="BU63">
        <f t="shared" si="28"/>
        <v>4.913793103448276E-2</v>
      </c>
      <c r="BV63">
        <f t="shared" si="28"/>
        <v>4.9056603773584909E-2</v>
      </c>
      <c r="BW63">
        <f t="shared" si="28"/>
        <v>5.0892857142857142E-2</v>
      </c>
      <c r="BX63">
        <f t="shared" si="28"/>
        <v>5.0892857142857142E-2</v>
      </c>
      <c r="BY63">
        <f t="shared" si="28"/>
        <v>4.9166666666666664E-2</v>
      </c>
      <c r="BZ63">
        <f t="shared" si="28"/>
        <v>5.2212389380530973E-2</v>
      </c>
      <c r="CA63">
        <f t="shared" si="28"/>
        <v>4.2418772563176894E-2</v>
      </c>
      <c r="CB63">
        <f t="shared" si="28"/>
        <v>3.3333333333333333E-2</v>
      </c>
      <c r="CC63">
        <f t="shared" si="28"/>
        <v>4.7179487179487181E-2</v>
      </c>
      <c r="CD63">
        <f t="shared" si="28"/>
        <v>3.4663865546218489E-2</v>
      </c>
      <c r="CE63">
        <f t="shared" si="28"/>
        <v>2.9818956336528223E-2</v>
      </c>
      <c r="CF63">
        <f t="shared" si="28"/>
        <v>3.1982942430703626E-2</v>
      </c>
      <c r="CG63">
        <f t="shared" si="28"/>
        <v>2.9350104821802937E-2</v>
      </c>
      <c r="CH63">
        <f t="shared" si="28"/>
        <v>2.6615969581749048E-2</v>
      </c>
      <c r="CI63">
        <f t="shared" si="28"/>
        <v>3.3396946564885496E-2</v>
      </c>
      <c r="CJ63">
        <f t="shared" si="28"/>
        <v>2.4024024024024024E-2</v>
      </c>
      <c r="CK63">
        <f t="shared" si="28"/>
        <v>2.8747433264887063E-2</v>
      </c>
      <c r="CL63">
        <f t="shared" si="28"/>
        <v>2.0242914979757085E-2</v>
      </c>
      <c r="CM63">
        <f t="shared" si="28"/>
        <v>2.8625954198473282E-2</v>
      </c>
      <c r="CN63">
        <f t="shared" si="28"/>
        <v>2.4714828897338403E-2</v>
      </c>
      <c r="CO63">
        <f t="shared" si="28"/>
        <v>9.6899224806201549E-3</v>
      </c>
      <c r="CP63">
        <f t="shared" si="28"/>
        <v>2.0735155513666354E-2</v>
      </c>
      <c r="CQ63">
        <f t="shared" si="28"/>
        <v>1.1638316920322292E-2</v>
      </c>
      <c r="CR63">
        <f t="shared" si="28"/>
        <v>1.1970534069981584E-2</v>
      </c>
      <c r="CS63">
        <f t="shared" si="25"/>
        <v>2.5854108956602031E-2</v>
      </c>
      <c r="CT63">
        <f t="shared" si="22"/>
        <v>1.0156971375807941E-2</v>
      </c>
      <c r="CU63">
        <f t="shared" si="28"/>
        <v>1.8375241779497099E-2</v>
      </c>
      <c r="CV63">
        <f t="shared" si="28"/>
        <v>1.4625228519195612E-2</v>
      </c>
      <c r="CW63">
        <f t="shared" si="28"/>
        <v>7.6997112608277194E-3</v>
      </c>
      <c r="CX63">
        <f t="shared" si="28"/>
        <v>1.3527575442247659E-2</v>
      </c>
      <c r="CY63">
        <f t="shared" si="28"/>
        <v>1.083743842364532E-2</v>
      </c>
      <c r="CZ63">
        <f t="shared" si="28"/>
        <v>1.1904761904761904E-2</v>
      </c>
      <c r="DA63">
        <f t="shared" si="28"/>
        <v>1.9108280254777069E-2</v>
      </c>
      <c r="DB63">
        <f t="shared" si="28"/>
        <v>1.2958963282937365E-2</v>
      </c>
      <c r="DC63">
        <f t="shared" si="28"/>
        <v>1.2401352874859075E-2</v>
      </c>
      <c r="DD63">
        <f t="shared" si="28"/>
        <v>1.0256410256410256E-2</v>
      </c>
      <c r="DE63">
        <f t="shared" si="19"/>
        <v>5.7937427578215531E-3</v>
      </c>
      <c r="DF63">
        <f t="shared" si="19"/>
        <v>7.0351758793969852E-3</v>
      </c>
      <c r="DG63">
        <f t="shared" si="19"/>
        <v>4.2689434364994666E-3</v>
      </c>
      <c r="DH63">
        <f t="shared" si="19"/>
        <v>1.1764705882352941E-2</v>
      </c>
      <c r="DI63">
        <f t="shared" si="19"/>
        <v>1.098901098901099E-2</v>
      </c>
      <c r="DJ63">
        <f t="shared" si="19"/>
        <v>7.9455164585698068E-3</v>
      </c>
      <c r="DK63">
        <f t="shared" si="19"/>
        <v>1.4527845036319613E-2</v>
      </c>
      <c r="DL63">
        <f t="shared" si="19"/>
        <v>7.829977628635347E-3</v>
      </c>
      <c r="DM63">
        <f t="shared" si="19"/>
        <v>4.6838407494145199E-3</v>
      </c>
      <c r="DN63">
        <f t="shared" si="19"/>
        <v>9.9502487562189053E-3</v>
      </c>
      <c r="DO63">
        <f t="shared" ref="DK63:DS70" si="29">+DO15/DO37</f>
        <v>1.2970168612191958E-3</v>
      </c>
      <c r="DP63">
        <f t="shared" si="29"/>
        <v>0</v>
      </c>
      <c r="DQ63">
        <f t="shared" si="29"/>
        <v>7.3637702503681884E-3</v>
      </c>
      <c r="DR63">
        <f t="shared" si="29"/>
        <v>4.815409309791332E-3</v>
      </c>
      <c r="DS63">
        <f t="shared" si="29"/>
        <v>1.7761989342806395E-3</v>
      </c>
      <c r="DU63">
        <f t="shared" si="20"/>
        <v>7.407586067302698E-3</v>
      </c>
    </row>
    <row r="64" spans="1:125" x14ac:dyDescent="0.35">
      <c r="A64" t="s">
        <v>14</v>
      </c>
      <c r="B64">
        <f t="shared" ref="B64:BM67" si="30">+B16/B38</f>
        <v>0.12111111111111111</v>
      </c>
      <c r="C64">
        <f t="shared" si="30"/>
        <v>9.3679458239277646E-2</v>
      </c>
      <c r="D64">
        <f t="shared" si="30"/>
        <v>0.12525252525252525</v>
      </c>
      <c r="E64">
        <f t="shared" si="30"/>
        <v>0.11737629459148446</v>
      </c>
      <c r="F64">
        <f t="shared" si="30"/>
        <v>0.10070493454179255</v>
      </c>
      <c r="G64">
        <f t="shared" si="30"/>
        <v>8.7735004476275733E-2</v>
      </c>
      <c r="H64">
        <f t="shared" si="30"/>
        <v>9.7461468721668179E-2</v>
      </c>
      <c r="I64">
        <f t="shared" si="30"/>
        <v>0.10743801652892562</v>
      </c>
      <c r="J64">
        <f t="shared" si="30"/>
        <v>0.10617283950617284</v>
      </c>
      <c r="K64">
        <f t="shared" si="30"/>
        <v>0.11135181975736569</v>
      </c>
      <c r="L64">
        <f t="shared" si="30"/>
        <v>0.1171088746569076</v>
      </c>
      <c r="M64">
        <f t="shared" si="30"/>
        <v>0.17102315160567588</v>
      </c>
      <c r="N64">
        <f t="shared" si="30"/>
        <v>0.1468005018820577</v>
      </c>
      <c r="O64">
        <f t="shared" si="30"/>
        <v>0.12952646239554316</v>
      </c>
      <c r="P64">
        <f t="shared" si="30"/>
        <v>0.13429602888086642</v>
      </c>
      <c r="Q64">
        <f t="shared" si="30"/>
        <v>0.16457680250783699</v>
      </c>
      <c r="R64">
        <f t="shared" si="30"/>
        <v>0.16099585062240665</v>
      </c>
      <c r="S64">
        <f t="shared" si="30"/>
        <v>0.13615023474178403</v>
      </c>
      <c r="T64">
        <f t="shared" si="30"/>
        <v>0.15390279823269515</v>
      </c>
      <c r="U64">
        <f t="shared" si="30"/>
        <v>0.13875917278185457</v>
      </c>
      <c r="V64">
        <f t="shared" si="30"/>
        <v>0.16981132075471697</v>
      </c>
      <c r="W64">
        <f t="shared" si="30"/>
        <v>0.15816326530612246</v>
      </c>
      <c r="X64">
        <f t="shared" si="30"/>
        <v>0.1228719467061436</v>
      </c>
      <c r="Y64">
        <f t="shared" si="30"/>
        <v>0.17151848937844216</v>
      </c>
      <c r="Z64">
        <f t="shared" si="30"/>
        <v>0.14989444053483461</v>
      </c>
      <c r="AA64">
        <f t="shared" si="30"/>
        <v>0.18246614397719174</v>
      </c>
      <c r="AB64">
        <f t="shared" si="30"/>
        <v>0.12880258899676375</v>
      </c>
      <c r="AC64">
        <f t="shared" si="30"/>
        <v>0.13922356091030791</v>
      </c>
      <c r="AD64">
        <f t="shared" si="30"/>
        <v>0.14993954050785974</v>
      </c>
      <c r="AE64">
        <f t="shared" si="30"/>
        <v>0.1492354740061162</v>
      </c>
      <c r="AF64">
        <f t="shared" si="30"/>
        <v>0.12485615650172613</v>
      </c>
      <c r="AG64">
        <f t="shared" si="30"/>
        <v>0.16389548693586697</v>
      </c>
      <c r="AH64">
        <f t="shared" si="30"/>
        <v>0.13353658536585367</v>
      </c>
      <c r="AI64">
        <f t="shared" si="30"/>
        <v>0.12859884836852206</v>
      </c>
      <c r="AJ64">
        <f t="shared" si="30"/>
        <v>0.17018633540372671</v>
      </c>
      <c r="AK64">
        <f t="shared" si="30"/>
        <v>0.13048855905998763</v>
      </c>
      <c r="AL64">
        <f t="shared" si="30"/>
        <v>0.12429378531073447</v>
      </c>
      <c r="AM64">
        <f t="shared" si="30"/>
        <v>0.14871194379391101</v>
      </c>
      <c r="AN64">
        <f t="shared" si="30"/>
        <v>0.12507444907683143</v>
      </c>
      <c r="AO64">
        <f t="shared" si="30"/>
        <v>0.13100686498855835</v>
      </c>
      <c r="AP64">
        <f t="shared" si="30"/>
        <v>0.12215078901227353</v>
      </c>
      <c r="AQ64">
        <f t="shared" si="30"/>
        <v>0.15432098765432098</v>
      </c>
      <c r="AR64">
        <f t="shared" si="30"/>
        <v>0.15521064301552107</v>
      </c>
      <c r="AS64">
        <f t="shared" si="30"/>
        <v>0.12868632707774799</v>
      </c>
      <c r="AT64">
        <f t="shared" si="30"/>
        <v>9.2485549132947972E-2</v>
      </c>
      <c r="AU64">
        <f t="shared" si="30"/>
        <v>0.10294728102947281</v>
      </c>
      <c r="AV64">
        <f t="shared" si="30"/>
        <v>8.1276595744680852E-2</v>
      </c>
      <c r="AW64">
        <f t="shared" si="30"/>
        <v>7.5588121866563829E-2</v>
      </c>
      <c r="AX64">
        <f t="shared" si="30"/>
        <v>6.1195613724796608E-2</v>
      </c>
      <c r="AY64">
        <f t="shared" si="30"/>
        <v>4.9575821845174971E-2</v>
      </c>
      <c r="AZ64" s="10">
        <f t="shared" si="30"/>
        <v>0.11956521739130435</v>
      </c>
      <c r="BA64" s="10">
        <f t="shared" si="30"/>
        <v>0.1361111111111111</v>
      </c>
      <c r="BB64" s="10">
        <f t="shared" si="30"/>
        <v>0.10365853658536585</v>
      </c>
      <c r="BC64" s="10">
        <f t="shared" si="30"/>
        <v>0.11931818181818182</v>
      </c>
      <c r="BD64" s="10">
        <f t="shared" si="30"/>
        <v>0.12996108949416343</v>
      </c>
      <c r="BE64">
        <f t="shared" si="30"/>
        <v>0.14477793809970951</v>
      </c>
      <c r="BF64">
        <f t="shared" si="30"/>
        <v>0.10669319918922196</v>
      </c>
      <c r="BG64">
        <f t="shared" si="30"/>
        <v>0.12054149079001304</v>
      </c>
      <c r="BH64">
        <f t="shared" si="30"/>
        <v>0.14235004356117481</v>
      </c>
      <c r="BI64">
        <f t="shared" si="30"/>
        <v>0.12187249162514399</v>
      </c>
      <c r="BJ64">
        <f t="shared" si="30"/>
        <v>0.11384565073317784</v>
      </c>
      <c r="BK64">
        <f t="shared" si="30"/>
        <v>0.10005678361503423</v>
      </c>
      <c r="BL64">
        <f t="shared" si="30"/>
        <v>9.4026056309002862E-2</v>
      </c>
      <c r="BM64">
        <f t="shared" si="30"/>
        <v>6.502576516812611E-2</v>
      </c>
      <c r="BN64">
        <f t="shared" si="28"/>
        <v>9.8342356286267057E-2</v>
      </c>
      <c r="BO64">
        <f t="shared" si="28"/>
        <v>9.5057994219424957E-2</v>
      </c>
      <c r="BP64">
        <f t="shared" si="28"/>
        <v>6.950526117740026E-2</v>
      </c>
      <c r="BQ64">
        <f t="shared" si="28"/>
        <v>9.0544731242562279E-2</v>
      </c>
      <c r="BR64">
        <f t="shared" si="28"/>
        <v>6.6637931454661209E-2</v>
      </c>
      <c r="BS64">
        <f t="shared" si="28"/>
        <v>5.5036057440848725E-2</v>
      </c>
      <c r="BT64">
        <f t="shared" si="28"/>
        <v>4.3888888888888887E-2</v>
      </c>
      <c r="BU64">
        <f t="shared" si="28"/>
        <v>5.6315789473684208E-2</v>
      </c>
      <c r="BV64">
        <f t="shared" si="28"/>
        <v>4.8351648351648353E-2</v>
      </c>
      <c r="BW64">
        <f t="shared" si="28"/>
        <v>6.4556962025316453E-2</v>
      </c>
      <c r="BX64">
        <f t="shared" si="28"/>
        <v>5.0931677018633541E-2</v>
      </c>
      <c r="BY64">
        <f t="shared" si="28"/>
        <v>4.0372670807453416E-2</v>
      </c>
      <c r="BZ64">
        <f t="shared" si="28"/>
        <v>5.0526315789473683E-2</v>
      </c>
      <c r="CA64">
        <f t="shared" si="28"/>
        <v>6.3856168629882207E-2</v>
      </c>
      <c r="CB64">
        <f t="shared" si="28"/>
        <v>4.1592394533571005E-2</v>
      </c>
      <c r="CC64">
        <f t="shared" si="28"/>
        <v>4.1327489041953665E-2</v>
      </c>
      <c r="CD64">
        <f t="shared" si="28"/>
        <v>2.5371287128712873E-2</v>
      </c>
      <c r="CE64">
        <f t="shared" si="28"/>
        <v>3.5145888594164454E-2</v>
      </c>
      <c r="CF64">
        <f t="shared" si="28"/>
        <v>3.3376963350785341E-2</v>
      </c>
      <c r="CG64">
        <f t="shared" si="28"/>
        <v>3.0808729139922979E-2</v>
      </c>
      <c r="CH64">
        <f t="shared" si="28"/>
        <v>3.6172695449241538E-2</v>
      </c>
      <c r="CI64">
        <f t="shared" si="28"/>
        <v>3.5545023696682464E-2</v>
      </c>
      <c r="CJ64">
        <f t="shared" si="28"/>
        <v>2.6423957721667644E-2</v>
      </c>
      <c r="CK64">
        <f t="shared" si="28"/>
        <v>3.2000000000000001E-2</v>
      </c>
      <c r="CL64">
        <f t="shared" si="28"/>
        <v>3.1655422937208098E-2</v>
      </c>
      <c r="CM64">
        <f t="shared" si="28"/>
        <v>2.1316033364226137E-2</v>
      </c>
      <c r="CN64">
        <f t="shared" si="28"/>
        <v>2.914572864321608E-2</v>
      </c>
      <c r="CO64">
        <f t="shared" si="28"/>
        <v>3.1527093596059111E-2</v>
      </c>
      <c r="CP64">
        <f t="shared" si="28"/>
        <v>2.1761133603238867E-2</v>
      </c>
      <c r="CQ64">
        <f t="shared" si="28"/>
        <v>3.0372756557754257E-2</v>
      </c>
      <c r="CR64">
        <f t="shared" si="28"/>
        <v>2.6937618147448016E-2</v>
      </c>
      <c r="CS64">
        <f t="shared" si="25"/>
        <v>2.7699530516431925E-2</v>
      </c>
      <c r="CT64">
        <f t="shared" si="22"/>
        <v>2.4882629107981221E-2</v>
      </c>
      <c r="CU64">
        <f t="shared" si="28"/>
        <v>1.8092909535452322E-2</v>
      </c>
      <c r="CV64">
        <f t="shared" si="28"/>
        <v>2.3774866569626393E-2</v>
      </c>
      <c r="CW64">
        <f t="shared" si="28"/>
        <v>1.7118402282453638E-2</v>
      </c>
      <c r="CX64">
        <f t="shared" si="28"/>
        <v>1.6008004002000999E-2</v>
      </c>
      <c r="CY64">
        <f t="shared" si="28"/>
        <v>1.5360169491525424E-2</v>
      </c>
      <c r="CZ64">
        <f t="shared" si="28"/>
        <v>1.5765765765765764E-2</v>
      </c>
      <c r="DA64">
        <f t="shared" si="28"/>
        <v>1.4958448753462604E-2</v>
      </c>
      <c r="DB64">
        <f t="shared" si="28"/>
        <v>1.5167930660888408E-2</v>
      </c>
      <c r="DC64">
        <f t="shared" si="28"/>
        <v>1.2399256044637322E-2</v>
      </c>
      <c r="DD64">
        <f t="shared" si="28"/>
        <v>1.8617021276595744E-2</v>
      </c>
      <c r="DE64">
        <f t="shared" ref="DE64:DS71" si="31">+DE16/DE38</f>
        <v>1.265022137887413E-2</v>
      </c>
      <c r="DF64">
        <f t="shared" si="31"/>
        <v>1.0863350485991996E-2</v>
      </c>
      <c r="DG64">
        <f t="shared" si="31"/>
        <v>7.3529411764705881E-3</v>
      </c>
      <c r="DH64">
        <f t="shared" si="31"/>
        <v>7.4766355140186919E-3</v>
      </c>
      <c r="DI64">
        <f t="shared" si="31"/>
        <v>1.0455104551045511E-2</v>
      </c>
      <c r="DJ64">
        <f t="shared" si="31"/>
        <v>1.3656114214773432E-2</v>
      </c>
      <c r="DK64">
        <f t="shared" si="29"/>
        <v>6.024096385542169E-3</v>
      </c>
      <c r="DL64">
        <f t="shared" si="29"/>
        <v>9.768009768009768E-3</v>
      </c>
      <c r="DM64">
        <f t="shared" si="29"/>
        <v>7.9545454545454537E-3</v>
      </c>
      <c r="DN64">
        <f t="shared" si="29"/>
        <v>6.5632458233890216E-3</v>
      </c>
      <c r="DO64">
        <f t="shared" si="29"/>
        <v>7.4074074074074077E-3</v>
      </c>
      <c r="DP64">
        <f t="shared" si="29"/>
        <v>7.4165636588380719E-3</v>
      </c>
      <c r="DQ64">
        <f t="shared" si="29"/>
        <v>6.7294751009421266E-3</v>
      </c>
      <c r="DR64">
        <f t="shared" si="29"/>
        <v>5.3475935828877002E-3</v>
      </c>
      <c r="DS64">
        <f t="shared" si="29"/>
        <v>5.3394355453852023E-3</v>
      </c>
      <c r="DU64">
        <f t="shared" si="20"/>
        <v>9.4953380140317227E-3</v>
      </c>
    </row>
    <row r="65" spans="1:125" x14ac:dyDescent="0.35">
      <c r="A65" t="s">
        <v>15</v>
      </c>
      <c r="B65">
        <f t="shared" si="30"/>
        <v>9.6860986547085207E-2</v>
      </c>
      <c r="C65">
        <f t="shared" si="30"/>
        <v>8.5160202360876902E-2</v>
      </c>
      <c r="D65">
        <f t="shared" si="30"/>
        <v>9.4509450945094511E-2</v>
      </c>
      <c r="E65">
        <f t="shared" si="30"/>
        <v>0.12265624999999999</v>
      </c>
      <c r="F65">
        <f t="shared" si="30"/>
        <v>0.10688836104513064</v>
      </c>
      <c r="G65">
        <f t="shared" si="30"/>
        <v>9.0690208667736763E-2</v>
      </c>
      <c r="H65">
        <f t="shared" si="30"/>
        <v>9.6076861489191354E-2</v>
      </c>
      <c r="I65">
        <f t="shared" si="30"/>
        <v>0.10143769968051118</v>
      </c>
      <c r="J65">
        <f t="shared" si="30"/>
        <v>9.3313739897134457E-2</v>
      </c>
      <c r="K65">
        <f t="shared" si="30"/>
        <v>8.3731178846860085E-2</v>
      </c>
      <c r="L65">
        <f t="shared" si="30"/>
        <v>7.4155653450807629E-2</v>
      </c>
      <c r="M65">
        <f t="shared" si="30"/>
        <v>9.0702947845804988E-2</v>
      </c>
      <c r="N65">
        <f t="shared" si="30"/>
        <v>9.7031136857349751E-2</v>
      </c>
      <c r="O65">
        <f t="shared" si="30"/>
        <v>0.10042735042735043</v>
      </c>
      <c r="P65">
        <f t="shared" si="30"/>
        <v>8.3206106870229002E-2</v>
      </c>
      <c r="Q65">
        <f t="shared" si="30"/>
        <v>9.648466716529544E-2</v>
      </c>
      <c r="R65">
        <f t="shared" si="30"/>
        <v>0.12939416604338069</v>
      </c>
      <c r="S65">
        <f t="shared" si="30"/>
        <v>0.10065645514223195</v>
      </c>
      <c r="T65">
        <f t="shared" si="30"/>
        <v>8.4635416666666671E-2</v>
      </c>
      <c r="U65">
        <f t="shared" si="30"/>
        <v>8.9095744680851061E-2</v>
      </c>
      <c r="V65">
        <f t="shared" si="30"/>
        <v>0.10267229254571027</v>
      </c>
      <c r="W65">
        <f t="shared" si="30"/>
        <v>0.10707204230006609</v>
      </c>
      <c r="X65">
        <f t="shared" si="30"/>
        <v>8.6317135549872123E-2</v>
      </c>
      <c r="Y65">
        <f t="shared" si="30"/>
        <v>6.7893401015228422E-2</v>
      </c>
      <c r="Z65">
        <f t="shared" si="30"/>
        <v>0.1096305269533616</v>
      </c>
      <c r="AA65">
        <f t="shared" si="30"/>
        <v>0.10218068535825545</v>
      </c>
      <c r="AB65">
        <f t="shared" si="30"/>
        <v>7.8018575851393185E-2</v>
      </c>
      <c r="AC65">
        <f t="shared" si="30"/>
        <v>9.2165898617511524E-2</v>
      </c>
      <c r="AD65">
        <f t="shared" si="30"/>
        <v>0.12609970674486803</v>
      </c>
      <c r="AE65">
        <f t="shared" si="30"/>
        <v>8.5310734463276833E-2</v>
      </c>
      <c r="AF65">
        <f t="shared" si="30"/>
        <v>8.8202866593164272E-2</v>
      </c>
      <c r="AG65">
        <f t="shared" si="30"/>
        <v>8.2039911308203997E-2</v>
      </c>
      <c r="AH65">
        <f t="shared" si="30"/>
        <v>0.08</v>
      </c>
      <c r="AI65">
        <f t="shared" si="30"/>
        <v>8.7525844245348039E-2</v>
      </c>
      <c r="AJ65">
        <f t="shared" si="30"/>
        <v>7.3414112615823229E-2</v>
      </c>
      <c r="AK65">
        <f t="shared" si="30"/>
        <v>7.1715817694369979E-2</v>
      </c>
      <c r="AL65">
        <f t="shared" si="30"/>
        <v>7.0412517780938835E-2</v>
      </c>
      <c r="AM65">
        <f t="shared" si="30"/>
        <v>6.13107822410148E-2</v>
      </c>
      <c r="AN65">
        <f t="shared" si="30"/>
        <v>6.6392881587953451E-2</v>
      </c>
      <c r="AO65">
        <f t="shared" si="30"/>
        <v>6.0283687943262408E-2</v>
      </c>
      <c r="AP65">
        <f t="shared" si="30"/>
        <v>5.5555555555555552E-2</v>
      </c>
      <c r="AQ65">
        <f t="shared" si="30"/>
        <v>4.9707602339181284E-2</v>
      </c>
      <c r="AR65">
        <f t="shared" si="30"/>
        <v>7.9639368895567247E-2</v>
      </c>
      <c r="AS65">
        <f t="shared" si="30"/>
        <v>5.3301511535401754E-2</v>
      </c>
      <c r="AT65">
        <f t="shared" si="30"/>
        <v>6.3547486033519548E-2</v>
      </c>
      <c r="AU65">
        <f t="shared" si="30"/>
        <v>4.2372881355932202E-2</v>
      </c>
      <c r="AV65">
        <f t="shared" si="30"/>
        <v>3.385579937304075E-2</v>
      </c>
      <c r="AW65">
        <f t="shared" si="30"/>
        <v>5.0368550368550369E-2</v>
      </c>
      <c r="AX65">
        <f t="shared" si="30"/>
        <v>4.7949526813880129E-2</v>
      </c>
      <c r="AY65">
        <f t="shared" si="30"/>
        <v>2.8183190739808756E-2</v>
      </c>
      <c r="AZ65" s="10">
        <f t="shared" si="30"/>
        <v>5.7788944723618091E-2</v>
      </c>
      <c r="BA65" s="10">
        <f t="shared" si="30"/>
        <v>4.3560606060606064E-2</v>
      </c>
      <c r="BB65" s="10">
        <f t="shared" si="30"/>
        <v>5.8764940239043828E-2</v>
      </c>
      <c r="BC65" s="10">
        <f t="shared" si="30"/>
        <v>4.3523316062176166E-2</v>
      </c>
      <c r="BD65" s="10">
        <f t="shared" si="30"/>
        <v>6.3522617901828685E-2</v>
      </c>
      <c r="BE65">
        <f t="shared" si="30"/>
        <v>6.5141193368341635E-2</v>
      </c>
      <c r="BF65">
        <f t="shared" si="30"/>
        <v>5.4348054060343556E-2</v>
      </c>
      <c r="BG65">
        <f t="shared" si="30"/>
        <v>4.3654530324324134E-2</v>
      </c>
      <c r="BH65">
        <f t="shared" si="30"/>
        <v>3.9671911280890197E-2</v>
      </c>
      <c r="BI65">
        <f t="shared" si="30"/>
        <v>5.640887382684303E-2</v>
      </c>
      <c r="BJ65">
        <f t="shared" si="30"/>
        <v>4.3044370011586758E-2</v>
      </c>
      <c r="BK65">
        <f t="shared" si="30"/>
        <v>3.2597846767081572E-2</v>
      </c>
      <c r="BL65">
        <f t="shared" si="30"/>
        <v>4.3569349194048153E-2</v>
      </c>
      <c r="BM65">
        <f t="shared" si="30"/>
        <v>4.8901415432690359E-2</v>
      </c>
      <c r="BN65">
        <f t="shared" si="28"/>
        <v>4.3162417716519776E-2</v>
      </c>
      <c r="BO65">
        <f t="shared" si="28"/>
        <v>3.747607569898101E-2</v>
      </c>
      <c r="BP65">
        <f t="shared" si="28"/>
        <v>3.1842022174969974E-2</v>
      </c>
      <c r="BQ65">
        <f t="shared" si="28"/>
        <v>4.8897730346926814E-2</v>
      </c>
      <c r="BR65">
        <f t="shared" si="28"/>
        <v>4.1458646387227044E-2</v>
      </c>
      <c r="BS65">
        <f t="shared" si="28"/>
        <v>4.0367527127536142E-2</v>
      </c>
      <c r="BT65">
        <f t="shared" si="28"/>
        <v>3.9285714285714285E-2</v>
      </c>
      <c r="BU65">
        <f t="shared" si="28"/>
        <v>4.0366972477064222E-2</v>
      </c>
      <c r="BV65">
        <f t="shared" si="28"/>
        <v>3.7735849056603772E-2</v>
      </c>
      <c r="BW65">
        <f t="shared" si="28"/>
        <v>3.5897435897435895E-2</v>
      </c>
      <c r="BX65">
        <f t="shared" si="28"/>
        <v>4.4166666666666667E-2</v>
      </c>
      <c r="BY65">
        <f t="shared" si="28"/>
        <v>3.7499999999999999E-2</v>
      </c>
      <c r="BZ65">
        <f t="shared" si="28"/>
        <v>4.0322580645161289E-2</v>
      </c>
      <c r="CA65">
        <f t="shared" si="28"/>
        <v>4.5909849749582635E-2</v>
      </c>
      <c r="CB65">
        <f t="shared" si="28"/>
        <v>4.0517241379310343E-2</v>
      </c>
      <c r="CC65">
        <f t="shared" si="28"/>
        <v>3.283302063789869E-2</v>
      </c>
      <c r="CD65">
        <f t="shared" si="28"/>
        <v>2.6794258373205742E-2</v>
      </c>
      <c r="CE65">
        <f t="shared" si="28"/>
        <v>2.4691358024691357E-2</v>
      </c>
      <c r="CF65">
        <f t="shared" si="28"/>
        <v>3.2579185520361993E-2</v>
      </c>
      <c r="CG65">
        <f t="shared" si="28"/>
        <v>2.3719165085388995E-2</v>
      </c>
      <c r="CH65">
        <f t="shared" si="28"/>
        <v>2.6724137931034484E-2</v>
      </c>
      <c r="CI65">
        <f t="shared" si="28"/>
        <v>3.7183544303797465E-2</v>
      </c>
      <c r="CJ65">
        <f t="shared" si="28"/>
        <v>2.9962546816479401E-2</v>
      </c>
      <c r="CK65">
        <f t="shared" si="28"/>
        <v>2.7385159010600707E-2</v>
      </c>
      <c r="CL65">
        <f t="shared" si="28"/>
        <v>1.595298068849706E-2</v>
      </c>
      <c r="CM65">
        <f t="shared" si="28"/>
        <v>2.1812080536912751E-2</v>
      </c>
      <c r="CN65">
        <f t="shared" si="28"/>
        <v>1.4950166112956811E-2</v>
      </c>
      <c r="CO65">
        <f t="shared" si="28"/>
        <v>2.7093596059113302E-2</v>
      </c>
      <c r="CP65">
        <f t="shared" si="28"/>
        <v>2.7457927369353409E-2</v>
      </c>
      <c r="CQ65">
        <f t="shared" si="28"/>
        <v>2.1172638436482084E-2</v>
      </c>
      <c r="CR65">
        <f t="shared" si="28"/>
        <v>1.1904761904761904E-2</v>
      </c>
      <c r="CS65">
        <f t="shared" si="25"/>
        <v>2.1479713603818614E-2</v>
      </c>
      <c r="CT65">
        <f t="shared" si="22"/>
        <v>2.3070803500397773E-2</v>
      </c>
      <c r="CU65">
        <f t="shared" si="28"/>
        <v>2.1541010770505385E-2</v>
      </c>
      <c r="CV65">
        <f t="shared" si="28"/>
        <v>1.5329125338142471E-2</v>
      </c>
      <c r="CW65">
        <f t="shared" si="28"/>
        <v>1.6339869281045753E-2</v>
      </c>
      <c r="CX65">
        <f t="shared" si="28"/>
        <v>1.4312977099236641E-2</v>
      </c>
      <c r="CY65">
        <f t="shared" si="28"/>
        <v>1.1461318051575931E-2</v>
      </c>
      <c r="CZ65">
        <f t="shared" si="28"/>
        <v>1.5209125475285171E-2</v>
      </c>
      <c r="DA65">
        <f t="shared" si="28"/>
        <v>1.4097744360902255E-2</v>
      </c>
      <c r="DB65">
        <f t="shared" si="28"/>
        <v>1.9455252918287938E-2</v>
      </c>
      <c r="DC65">
        <f t="shared" si="28"/>
        <v>1.3429752066115703E-2</v>
      </c>
      <c r="DD65">
        <f t="shared" si="28"/>
        <v>8.7145969498910684E-3</v>
      </c>
      <c r="DE65">
        <f t="shared" si="31"/>
        <v>9.74025974025974E-3</v>
      </c>
      <c r="DF65">
        <f t="shared" si="31"/>
        <v>1.1988011988011988E-2</v>
      </c>
      <c r="DG65">
        <f t="shared" si="31"/>
        <v>9.8716683119447184E-3</v>
      </c>
      <c r="DH65">
        <f t="shared" si="31"/>
        <v>8.8582677165354329E-3</v>
      </c>
      <c r="DI65">
        <f t="shared" si="31"/>
        <v>5.0607287449392713E-3</v>
      </c>
      <c r="DJ65">
        <f t="shared" si="31"/>
        <v>1.1410788381742738E-2</v>
      </c>
      <c r="DK65">
        <f t="shared" si="29"/>
        <v>1.1527377521613832E-2</v>
      </c>
      <c r="DL65">
        <f t="shared" si="29"/>
        <v>1.0384215991692628E-2</v>
      </c>
      <c r="DM65">
        <f t="shared" si="29"/>
        <v>5.0403225806451612E-3</v>
      </c>
      <c r="DN65">
        <f t="shared" si="29"/>
        <v>7.9681274900398405E-3</v>
      </c>
      <c r="DO65">
        <f t="shared" si="29"/>
        <v>7.5107296137339056E-3</v>
      </c>
      <c r="DP65">
        <f t="shared" si="29"/>
        <v>3.6585365853658539E-3</v>
      </c>
      <c r="DQ65">
        <f t="shared" si="29"/>
        <v>9.9255583126550868E-3</v>
      </c>
      <c r="DR65">
        <f t="shared" si="29"/>
        <v>3.8363171355498722E-3</v>
      </c>
      <c r="DS65">
        <f t="shared" si="29"/>
        <v>7.9575596816976128E-3</v>
      </c>
      <c r="DU65">
        <f t="shared" si="20"/>
        <v>8.6899421377908039E-3</v>
      </c>
    </row>
    <row r="66" spans="1:125" x14ac:dyDescent="0.35">
      <c r="A66" t="s">
        <v>16</v>
      </c>
      <c r="B66">
        <f t="shared" si="30"/>
        <v>0.10903010033444815</v>
      </c>
      <c r="C66">
        <f t="shared" si="30"/>
        <v>0.10834454912516824</v>
      </c>
      <c r="D66">
        <f t="shared" si="30"/>
        <v>0.12681638044914134</v>
      </c>
      <c r="E66">
        <f t="shared" si="30"/>
        <v>0.15374331550802139</v>
      </c>
      <c r="F66">
        <f t="shared" si="30"/>
        <v>0.12226797592651251</v>
      </c>
      <c r="G66">
        <f t="shared" si="30"/>
        <v>9.3919325707405174E-2</v>
      </c>
      <c r="H66">
        <f t="shared" si="30"/>
        <v>0.12696417347580138</v>
      </c>
      <c r="I66">
        <f t="shared" si="30"/>
        <v>0.16305062458908612</v>
      </c>
      <c r="J66">
        <f t="shared" si="30"/>
        <v>0.13164251207729469</v>
      </c>
      <c r="K66">
        <f t="shared" si="30"/>
        <v>0.12808497344579819</v>
      </c>
      <c r="L66">
        <f t="shared" si="30"/>
        <v>0.12427184466019417</v>
      </c>
      <c r="M66">
        <f t="shared" si="30"/>
        <v>0.1150497512437811</v>
      </c>
      <c r="N66">
        <f t="shared" si="30"/>
        <v>0.13116656993615786</v>
      </c>
      <c r="O66">
        <f t="shared" si="30"/>
        <v>0.10011248593925759</v>
      </c>
      <c r="P66">
        <f t="shared" si="30"/>
        <v>0.12002212389380532</v>
      </c>
      <c r="Q66">
        <f t="shared" si="30"/>
        <v>0.11154058531198233</v>
      </c>
      <c r="R66">
        <f t="shared" si="30"/>
        <v>0.18679357525282569</v>
      </c>
      <c r="S66">
        <f t="shared" si="30"/>
        <v>0.10837988826815642</v>
      </c>
      <c r="T66">
        <f t="shared" si="30"/>
        <v>0.15717415115005476</v>
      </c>
      <c r="U66">
        <f t="shared" si="30"/>
        <v>0.12772925764192139</v>
      </c>
      <c r="V66">
        <f t="shared" si="30"/>
        <v>0.11157239231966788</v>
      </c>
      <c r="W66">
        <f t="shared" si="30"/>
        <v>0.11880165289256199</v>
      </c>
      <c r="X66">
        <f t="shared" si="30"/>
        <v>7.7088948787061989E-2</v>
      </c>
      <c r="Y66">
        <f t="shared" si="30"/>
        <v>0.10800644814615798</v>
      </c>
      <c r="Z66">
        <f t="shared" si="30"/>
        <v>0.12048832271762208</v>
      </c>
      <c r="AA66">
        <f t="shared" si="30"/>
        <v>9.784244856999498E-2</v>
      </c>
      <c r="AB66">
        <f t="shared" si="30"/>
        <v>0.10539336961900049</v>
      </c>
      <c r="AC66">
        <f t="shared" si="30"/>
        <v>0.12911266201395813</v>
      </c>
      <c r="AD66">
        <f t="shared" si="30"/>
        <v>9.9255583126550875E-2</v>
      </c>
      <c r="AE66">
        <f t="shared" si="30"/>
        <v>8.6016338298894768E-2</v>
      </c>
      <c r="AF66">
        <f t="shared" si="30"/>
        <v>0.12152614225153086</v>
      </c>
      <c r="AG66">
        <f t="shared" si="30"/>
        <v>0.11699677567941041</v>
      </c>
      <c r="AH66">
        <f t="shared" si="30"/>
        <v>0.10958254269449716</v>
      </c>
      <c r="AI66">
        <f t="shared" si="30"/>
        <v>0.10810810810810811</v>
      </c>
      <c r="AJ66">
        <f t="shared" si="30"/>
        <v>0.1092436974789916</v>
      </c>
      <c r="AK66">
        <f t="shared" si="30"/>
        <v>0.13726487036095578</v>
      </c>
      <c r="AL66">
        <f t="shared" si="30"/>
        <v>0.12260343087790111</v>
      </c>
      <c r="AM66">
        <f t="shared" si="30"/>
        <v>9.5577020843924762E-2</v>
      </c>
      <c r="AN66">
        <f t="shared" si="30"/>
        <v>0.12585571353343866</v>
      </c>
      <c r="AO66">
        <f t="shared" si="30"/>
        <v>7.7714873906330417E-2</v>
      </c>
      <c r="AP66">
        <f t="shared" si="30"/>
        <v>8.1001472754050077E-2</v>
      </c>
      <c r="AQ66">
        <f t="shared" si="30"/>
        <v>0.1009506564056134</v>
      </c>
      <c r="AR66">
        <f t="shared" si="30"/>
        <v>9.2148566055477193E-2</v>
      </c>
      <c r="AS66">
        <f t="shared" si="30"/>
        <v>9.6441947565543071E-2</v>
      </c>
      <c r="AT66">
        <f t="shared" si="30"/>
        <v>8.719101123595506E-2</v>
      </c>
      <c r="AU66">
        <f t="shared" si="30"/>
        <v>6.1003861003861001E-2</v>
      </c>
      <c r="AV66">
        <f t="shared" si="30"/>
        <v>5.5900621118012424E-2</v>
      </c>
      <c r="AW66">
        <f t="shared" si="30"/>
        <v>8.4116541353383464E-2</v>
      </c>
      <c r="AX66">
        <f t="shared" si="30"/>
        <v>9.552656104380243E-2</v>
      </c>
      <c r="AY66">
        <f t="shared" si="30"/>
        <v>4.8750000000000002E-2</v>
      </c>
      <c r="AZ66" s="10">
        <f t="shared" si="30"/>
        <v>7.1586389748121967E-2</v>
      </c>
      <c r="BA66" s="10">
        <f>+BA18/BA40</f>
        <v>0.14853556485355648</v>
      </c>
      <c r="BB66" s="10">
        <f t="shared" si="30"/>
        <v>0.1107242339832869</v>
      </c>
      <c r="BC66" s="10">
        <f t="shared" si="30"/>
        <v>9.4833224329627208E-2</v>
      </c>
      <c r="BD66" s="10">
        <f t="shared" si="30"/>
        <v>7.6062639821029079E-2</v>
      </c>
      <c r="BE66">
        <f t="shared" si="30"/>
        <v>7.6734369901796995E-2</v>
      </c>
      <c r="BF66">
        <f t="shared" si="30"/>
        <v>9.5074614259841164E-2</v>
      </c>
      <c r="BG66">
        <f t="shared" si="30"/>
        <v>0.10317554868471028</v>
      </c>
      <c r="BH66">
        <f t="shared" si="30"/>
        <v>6.138992279897186E-2</v>
      </c>
      <c r="BI66">
        <f t="shared" si="30"/>
        <v>9.8080182628457746E-2</v>
      </c>
      <c r="BJ66">
        <f t="shared" si="30"/>
        <v>0.11643319321055236</v>
      </c>
      <c r="BK66">
        <f t="shared" si="30"/>
        <v>8.4486555495056792E-2</v>
      </c>
      <c r="BL66">
        <f t="shared" si="30"/>
        <v>9.0411019624017541E-2</v>
      </c>
      <c r="BM66">
        <f t="shared" si="30"/>
        <v>6.5286774368284436E-2</v>
      </c>
      <c r="BN66">
        <f t="shared" si="28"/>
        <v>7.9519901708135055E-2</v>
      </c>
      <c r="BO66">
        <f t="shared" si="28"/>
        <v>8.0169472742578796E-2</v>
      </c>
      <c r="BP66">
        <f t="shared" si="28"/>
        <v>7.768884642422981E-2</v>
      </c>
      <c r="BQ66">
        <f t="shared" si="28"/>
        <v>5.8069566640809908E-2</v>
      </c>
      <c r="BR66">
        <f t="shared" si="28"/>
        <v>6.9133425231855047E-2</v>
      </c>
      <c r="BS66">
        <f t="shared" si="28"/>
        <v>6.9197188296403062E-2</v>
      </c>
      <c r="BT66">
        <f t="shared" si="28"/>
        <v>6.9230769230769235E-2</v>
      </c>
      <c r="BU66">
        <f t="shared" si="28"/>
        <v>5.0197628458498025E-2</v>
      </c>
      <c r="BV66">
        <f t="shared" si="28"/>
        <v>6.1685823754789273E-2</v>
      </c>
      <c r="BW66">
        <f t="shared" si="28"/>
        <v>7.6492537313432835E-2</v>
      </c>
      <c r="BX66">
        <f t="shared" si="28"/>
        <v>6.4727272727272731E-2</v>
      </c>
      <c r="BY66">
        <f t="shared" si="28"/>
        <v>5.7039711191335739E-2</v>
      </c>
      <c r="BZ66">
        <f t="shared" si="28"/>
        <v>5.1929824561403506E-2</v>
      </c>
      <c r="CA66">
        <f t="shared" si="28"/>
        <v>5.8552164655784243E-2</v>
      </c>
      <c r="CB66">
        <f t="shared" si="28"/>
        <v>6.2256809338521402E-2</v>
      </c>
      <c r="CC66">
        <f t="shared" si="28"/>
        <v>6.4745508982035932E-2</v>
      </c>
      <c r="CD66">
        <f t="shared" si="28"/>
        <v>5.1005212211466866E-2</v>
      </c>
      <c r="CE66">
        <f t="shared" si="28"/>
        <v>3.0892448512585814E-2</v>
      </c>
      <c r="CF66">
        <f t="shared" si="28"/>
        <v>2.7037466203167246E-2</v>
      </c>
      <c r="CG66">
        <f t="shared" si="28"/>
        <v>3.5491419656786274E-2</v>
      </c>
      <c r="CH66">
        <f t="shared" si="28"/>
        <v>2.8717545239968528E-2</v>
      </c>
      <c r="CI66">
        <f t="shared" si="28"/>
        <v>3.0314097881665451E-2</v>
      </c>
      <c r="CJ66">
        <f t="shared" si="28"/>
        <v>3.115501519756839E-2</v>
      </c>
      <c r="CK66">
        <f t="shared" si="28"/>
        <v>2.3505976095617529E-2</v>
      </c>
      <c r="CL66">
        <f t="shared" si="28"/>
        <v>1.7361111111111112E-2</v>
      </c>
      <c r="CM66">
        <f t="shared" si="28"/>
        <v>2.1619496855345911E-2</v>
      </c>
      <c r="CN66">
        <f t="shared" si="28"/>
        <v>2.1292491595069109E-2</v>
      </c>
      <c r="CO66">
        <f t="shared" si="28"/>
        <v>2.2544283413848631E-2</v>
      </c>
      <c r="CP66">
        <f t="shared" si="28"/>
        <v>1.539708265802269E-2</v>
      </c>
      <c r="CQ66">
        <f t="shared" si="28"/>
        <v>2.4599329109206113E-2</v>
      </c>
      <c r="CR66">
        <f t="shared" si="28"/>
        <v>1.6713091922005572E-2</v>
      </c>
      <c r="CS66">
        <f t="shared" si="25"/>
        <v>2.0272631946871723E-2</v>
      </c>
      <c r="CT66">
        <f t="shared" si="22"/>
        <v>1.6777350576721427E-2</v>
      </c>
      <c r="CU66">
        <f t="shared" si="28"/>
        <v>2.309635510645976E-2</v>
      </c>
      <c r="CV66">
        <f t="shared" si="28"/>
        <v>2.1880998080614205E-2</v>
      </c>
      <c r="CW66">
        <f t="shared" si="28"/>
        <v>1.891891891891892E-2</v>
      </c>
      <c r="CX66">
        <f t="shared" si="28"/>
        <v>1.4348345954563571E-2</v>
      </c>
      <c r="CY66">
        <f t="shared" si="28"/>
        <v>2.199170124481328E-2</v>
      </c>
      <c r="CZ66">
        <f t="shared" si="28"/>
        <v>1.4748054076198279E-2</v>
      </c>
      <c r="DA66">
        <f t="shared" si="28"/>
        <v>2.1957913998170174E-2</v>
      </c>
      <c r="DB66">
        <f t="shared" si="28"/>
        <v>1.1175681716584712E-2</v>
      </c>
      <c r="DC66">
        <f t="shared" si="28"/>
        <v>1.8078020932445291E-2</v>
      </c>
      <c r="DD66">
        <f t="shared" si="28"/>
        <v>8.049242424242424E-3</v>
      </c>
      <c r="DE66">
        <f t="shared" si="31"/>
        <v>1.2048192771084338E-2</v>
      </c>
      <c r="DF66">
        <f t="shared" si="31"/>
        <v>1.3831258644536652E-2</v>
      </c>
      <c r="DG66">
        <f t="shared" si="31"/>
        <v>1.3132295719844358E-2</v>
      </c>
      <c r="DH66">
        <f t="shared" si="31"/>
        <v>1.0471204188481676E-2</v>
      </c>
      <c r="DI66">
        <f t="shared" si="31"/>
        <v>1.2334399269072635E-2</v>
      </c>
      <c r="DJ66">
        <f t="shared" si="31"/>
        <v>1.3199817933545745E-2</v>
      </c>
      <c r="DK66">
        <f t="shared" si="29"/>
        <v>9.7623089983022073E-3</v>
      </c>
      <c r="DL66">
        <f t="shared" si="29"/>
        <v>4.4424700133274099E-3</v>
      </c>
      <c r="DM66">
        <f t="shared" si="29"/>
        <v>7.819287576020852E-3</v>
      </c>
      <c r="DN66">
        <f t="shared" si="29"/>
        <v>1.0948905109489052E-2</v>
      </c>
      <c r="DO66">
        <f t="shared" si="29"/>
        <v>7.6481835564053535E-3</v>
      </c>
      <c r="DP66">
        <f t="shared" si="29"/>
        <v>7.6844262295081966E-3</v>
      </c>
      <c r="DQ66">
        <f t="shared" si="29"/>
        <v>1.001669449081803E-2</v>
      </c>
      <c r="DR66">
        <f t="shared" si="29"/>
        <v>2.9515938606847697E-3</v>
      </c>
      <c r="DS66">
        <f t="shared" si="29"/>
        <v>7.0108349267049078E-3</v>
      </c>
      <c r="DU66">
        <f t="shared" si="20"/>
        <v>1.009919192319135E-2</v>
      </c>
    </row>
    <row r="67" spans="1:125" x14ac:dyDescent="0.35">
      <c r="A67" t="s">
        <v>17</v>
      </c>
      <c r="B67">
        <f t="shared" si="30"/>
        <v>0.10838709677419354</v>
      </c>
      <c r="C67">
        <f t="shared" si="30"/>
        <v>9.6594427244582046E-2</v>
      </c>
      <c r="D67">
        <f t="shared" si="30"/>
        <v>9.1809775429326293E-2</v>
      </c>
      <c r="E67">
        <f t="shared" si="30"/>
        <v>9.6055979643765901E-2</v>
      </c>
      <c r="F67">
        <f t="shared" si="30"/>
        <v>9.2717356432467118E-2</v>
      </c>
      <c r="G67">
        <f t="shared" si="30"/>
        <v>8.9320388349514557E-2</v>
      </c>
      <c r="H67">
        <f t="shared" si="30"/>
        <v>9.8684210526315791E-2</v>
      </c>
      <c r="I67">
        <f t="shared" si="30"/>
        <v>0.10746812386156648</v>
      </c>
      <c r="J67">
        <f t="shared" si="30"/>
        <v>9.2636579572446559E-2</v>
      </c>
      <c r="K67">
        <f t="shared" si="30"/>
        <v>0.10046728971962617</v>
      </c>
      <c r="L67">
        <f t="shared" si="30"/>
        <v>0.10804597701149425</v>
      </c>
      <c r="M67">
        <f t="shared" si="30"/>
        <v>0.10765687967760507</v>
      </c>
      <c r="N67">
        <f t="shared" si="30"/>
        <v>9.2873831775700938E-2</v>
      </c>
      <c r="O67">
        <f t="shared" si="30"/>
        <v>7.8330474556889657E-2</v>
      </c>
      <c r="P67">
        <f t="shared" si="30"/>
        <v>7.4292452830188677E-2</v>
      </c>
      <c r="Q67">
        <f t="shared" si="30"/>
        <v>9.375E-2</v>
      </c>
      <c r="R67">
        <f t="shared" si="30"/>
        <v>0.11651651651651651</v>
      </c>
      <c r="S67">
        <f t="shared" si="30"/>
        <v>9.8732488325550372E-2</v>
      </c>
      <c r="T67">
        <f t="shared" si="30"/>
        <v>9.45945945945946E-2</v>
      </c>
      <c r="U67">
        <f t="shared" si="30"/>
        <v>8.8380716934487027E-2</v>
      </c>
      <c r="V67">
        <f t="shared" si="30"/>
        <v>0.12589227774172615</v>
      </c>
      <c r="W67">
        <f t="shared" si="30"/>
        <v>9.2258064516129029E-2</v>
      </c>
      <c r="X67">
        <f t="shared" si="30"/>
        <v>8.3437892095357596E-2</v>
      </c>
      <c r="Y67">
        <f t="shared" si="30"/>
        <v>8.2331730769230768E-2</v>
      </c>
      <c r="Z67">
        <f t="shared" si="30"/>
        <v>9.4102885821831864E-2</v>
      </c>
      <c r="AA67">
        <f t="shared" si="30"/>
        <v>0.11159600997506235</v>
      </c>
      <c r="AB67">
        <f t="shared" si="30"/>
        <v>8.890330953926022E-2</v>
      </c>
      <c r="AC67">
        <f t="shared" si="30"/>
        <v>0.10564304461942257</v>
      </c>
      <c r="AD67">
        <f t="shared" si="30"/>
        <v>9.3350383631713552E-2</v>
      </c>
      <c r="AE67">
        <f t="shared" si="30"/>
        <v>8.2000000000000003E-2</v>
      </c>
      <c r="AF67">
        <f t="shared" si="30"/>
        <v>8.5134250163719713E-2</v>
      </c>
      <c r="AG67">
        <f t="shared" si="30"/>
        <v>8.1081081081081086E-2</v>
      </c>
      <c r="AH67">
        <f t="shared" si="30"/>
        <v>6.4802182810368356E-2</v>
      </c>
      <c r="AI67">
        <f t="shared" si="30"/>
        <v>8.3916083916083919E-2</v>
      </c>
      <c r="AJ67">
        <f t="shared" si="30"/>
        <v>8.4604715672676842E-2</v>
      </c>
      <c r="AK67">
        <f t="shared" si="30"/>
        <v>7.628865979381444E-2</v>
      </c>
      <c r="AL67">
        <f t="shared" si="30"/>
        <v>9.6439169139465875E-2</v>
      </c>
      <c r="AM67">
        <f t="shared" si="30"/>
        <v>7.8556263269639062E-2</v>
      </c>
      <c r="AN67">
        <f t="shared" si="30"/>
        <v>9.4653179190751446E-2</v>
      </c>
      <c r="AO67">
        <f t="shared" si="30"/>
        <v>7.0721357850070721E-2</v>
      </c>
      <c r="AP67">
        <f t="shared" si="30"/>
        <v>6.4971751412429377E-2</v>
      </c>
      <c r="AQ67">
        <f t="shared" si="30"/>
        <v>8.3781706379707915E-2</v>
      </c>
      <c r="AR67">
        <f t="shared" si="30"/>
        <v>8.6780210867802104E-2</v>
      </c>
      <c r="AS67">
        <f t="shared" si="30"/>
        <v>5.3600000000000002E-2</v>
      </c>
      <c r="AT67">
        <f t="shared" si="30"/>
        <v>5.9856344772545887E-2</v>
      </c>
      <c r="AU67">
        <f t="shared" si="30"/>
        <v>4.4303797468354431E-2</v>
      </c>
      <c r="AV67">
        <f t="shared" si="30"/>
        <v>4.7799696509863432E-2</v>
      </c>
      <c r="AW67">
        <f t="shared" si="30"/>
        <v>5.0887573964497043E-2</v>
      </c>
      <c r="AX67">
        <f t="shared" si="30"/>
        <v>5.033353547604609E-2</v>
      </c>
      <c r="AY67">
        <f t="shared" si="30"/>
        <v>4.5657015590200446E-2</v>
      </c>
      <c r="AZ67" s="10">
        <f t="shared" si="30"/>
        <v>7.0992366412213737E-2</v>
      </c>
      <c r="BA67" s="10">
        <f t="shared" si="30"/>
        <v>4.4635865309318713E-2</v>
      </c>
      <c r="BB67" s="10">
        <f t="shared" si="30"/>
        <v>4.1699449252557044E-2</v>
      </c>
      <c r="BC67" s="10">
        <f t="shared" si="30"/>
        <v>5.4892601431980909E-2</v>
      </c>
      <c r="BD67" s="10">
        <f t="shared" si="30"/>
        <v>4.1057759220598469E-2</v>
      </c>
      <c r="BE67">
        <f t="shared" si="30"/>
        <v>4.9453444761077159E-2</v>
      </c>
      <c r="BF67">
        <f t="shared" si="30"/>
        <v>4.4065451963352827E-2</v>
      </c>
      <c r="BG67">
        <f t="shared" si="30"/>
        <v>6.4904891266400561E-2</v>
      </c>
      <c r="BH67">
        <f t="shared" si="30"/>
        <v>4.0946633578865917E-2</v>
      </c>
      <c r="BI67">
        <f t="shared" si="30"/>
        <v>7.0399745361545918E-2</v>
      </c>
      <c r="BJ67">
        <f t="shared" si="30"/>
        <v>3.7316091263060597E-2</v>
      </c>
      <c r="BK67">
        <f t="shared" si="30"/>
        <v>3.7466315402076358E-2</v>
      </c>
      <c r="BL67">
        <f t="shared" si="30"/>
        <v>3.4472476392289633E-2</v>
      </c>
      <c r="BM67">
        <f t="shared" si="30"/>
        <v>4.144817531602369E-2</v>
      </c>
      <c r="BN67">
        <f t="shared" si="28"/>
        <v>2.991903031212571E-2</v>
      </c>
      <c r="BO67">
        <f t="shared" si="28"/>
        <v>4.640480789038097E-2</v>
      </c>
      <c r="BP67">
        <f t="shared" si="28"/>
        <v>3.1526005261903918E-2</v>
      </c>
      <c r="BQ67">
        <f t="shared" si="28"/>
        <v>4.1097171649883635E-2</v>
      </c>
      <c r="BR67">
        <f t="shared" si="28"/>
        <v>4.4619576060744147E-2</v>
      </c>
      <c r="BS67">
        <f t="shared" si="28"/>
        <v>3.9464320128878752E-2</v>
      </c>
      <c r="BT67">
        <f t="shared" si="28"/>
        <v>3.4435483870967738E-2</v>
      </c>
      <c r="BU67">
        <f t="shared" si="28"/>
        <v>3.2666666666666663E-2</v>
      </c>
      <c r="BV67">
        <f t="shared" si="28"/>
        <v>3.4744525547445254E-2</v>
      </c>
      <c r="BW67">
        <f t="shared" si="28"/>
        <v>3.9499999999999993E-2</v>
      </c>
      <c r="BX67">
        <f t="shared" si="28"/>
        <v>2.8538461538461537E-2</v>
      </c>
      <c r="BY67">
        <f t="shared" si="28"/>
        <v>3.3055555555555553E-2</v>
      </c>
      <c r="BZ67">
        <f t="shared" si="28"/>
        <v>3.6381578947368418E-2</v>
      </c>
      <c r="CA67">
        <f t="shared" si="28"/>
        <v>2.8378378378378376E-2</v>
      </c>
      <c r="CB67">
        <f t="shared" si="28"/>
        <v>2.8450920245398772E-2</v>
      </c>
      <c r="CC67">
        <f t="shared" si="28"/>
        <v>3.4426229508196717E-2</v>
      </c>
      <c r="CD67">
        <f t="shared" si="28"/>
        <v>3.2389046270066099E-2</v>
      </c>
      <c r="CE67">
        <f t="shared" si="28"/>
        <v>2.7411652340019101E-2</v>
      </c>
      <c r="CF67">
        <f t="shared" si="28"/>
        <v>3.8375634517766495E-2</v>
      </c>
      <c r="CG67">
        <f t="shared" si="28"/>
        <v>4.0036900369003689E-2</v>
      </c>
      <c r="CH67">
        <f t="shared" si="28"/>
        <v>2.3381294964028777E-2</v>
      </c>
      <c r="CI67">
        <f t="shared" si="28"/>
        <v>3.0927835051546393E-2</v>
      </c>
      <c r="CJ67">
        <f t="shared" si="28"/>
        <v>1.9653179190751446E-2</v>
      </c>
      <c r="CK67">
        <f t="shared" si="28"/>
        <v>2.2516556291390728E-2</v>
      </c>
      <c r="CL67">
        <f t="shared" si="28"/>
        <v>1.5276893698281349E-2</v>
      </c>
      <c r="CM67">
        <f t="shared" si="28"/>
        <v>2.1345407503234153E-2</v>
      </c>
      <c r="CN67">
        <f t="shared" si="28"/>
        <v>2.6168224299065422E-2</v>
      </c>
      <c r="CO67">
        <f t="shared" si="28"/>
        <v>2.403846153846154E-2</v>
      </c>
      <c r="CP67">
        <f t="shared" si="28"/>
        <v>1.2980269989615784E-2</v>
      </c>
      <c r="CQ67">
        <f t="shared" si="28"/>
        <v>1.5231400117164616E-2</v>
      </c>
      <c r="CR67">
        <f t="shared" si="28"/>
        <v>1.9768234492160874E-2</v>
      </c>
      <c r="CS67">
        <f t="shared" si="25"/>
        <v>1.8417462482946793E-2</v>
      </c>
      <c r="CT67">
        <f t="shared" si="22"/>
        <v>2.3192360163710776E-2</v>
      </c>
      <c r="CU67">
        <f t="shared" si="28"/>
        <v>1.0501750291715286E-2</v>
      </c>
      <c r="CV67">
        <f t="shared" si="28"/>
        <v>1.6362492133417242E-2</v>
      </c>
      <c r="CW67">
        <f t="shared" si="28"/>
        <v>1.2391573729863693E-2</v>
      </c>
      <c r="CX67">
        <f t="shared" si="28"/>
        <v>1.1533242876526458E-2</v>
      </c>
      <c r="CY67">
        <f t="shared" si="28"/>
        <v>1.077996195307546E-2</v>
      </c>
      <c r="CZ67">
        <f t="shared" si="28"/>
        <v>1.1635423400129283E-2</v>
      </c>
      <c r="DA67">
        <f t="shared" si="28"/>
        <v>1.0500308832612723E-2</v>
      </c>
      <c r="DB67">
        <f t="shared" si="28"/>
        <v>1.2931034482758621E-2</v>
      </c>
      <c r="DC67">
        <f t="shared" si="28"/>
        <v>1.5395894428152493E-2</v>
      </c>
      <c r="DD67">
        <f t="shared" si="28"/>
        <v>6.8917987594762234E-3</v>
      </c>
      <c r="DE67">
        <f t="shared" si="31"/>
        <v>7.4880871341048332E-3</v>
      </c>
      <c r="DF67">
        <f t="shared" si="31"/>
        <v>9.6286107290233843E-3</v>
      </c>
      <c r="DG67">
        <f t="shared" si="31"/>
        <v>9.372746935832732E-3</v>
      </c>
      <c r="DH67">
        <f t="shared" si="31"/>
        <v>5.5478502080443829E-3</v>
      </c>
      <c r="DI67">
        <f t="shared" si="31"/>
        <v>1.0378057820607857E-2</v>
      </c>
      <c r="DJ67">
        <f t="shared" si="31"/>
        <v>7.3726541554959783E-3</v>
      </c>
      <c r="DK67">
        <f t="shared" si="29"/>
        <v>1.314878892733564E-2</v>
      </c>
      <c r="DL67">
        <f t="shared" si="29"/>
        <v>8.119079837618403E-3</v>
      </c>
      <c r="DM67">
        <f t="shared" si="29"/>
        <v>7.9136690647482015E-3</v>
      </c>
      <c r="DN67">
        <f t="shared" si="29"/>
        <v>4.1465100207325502E-3</v>
      </c>
      <c r="DO67">
        <f t="shared" si="29"/>
        <v>3.9840637450199202E-3</v>
      </c>
      <c r="DP67">
        <f t="shared" si="29"/>
        <v>6.8610634648370496E-3</v>
      </c>
      <c r="DQ67">
        <f t="shared" si="29"/>
        <v>1.3052208835341365E-2</v>
      </c>
      <c r="DR67">
        <f t="shared" si="29"/>
        <v>1.1627906976744186E-2</v>
      </c>
      <c r="DS67">
        <f t="shared" si="29"/>
        <v>7.3761854583772393E-3</v>
      </c>
      <c r="DU67">
        <f t="shared" si="20"/>
        <v>8.1360849741584657E-3</v>
      </c>
    </row>
    <row r="68" spans="1:125" x14ac:dyDescent="0.35">
      <c r="A68" t="s">
        <v>18</v>
      </c>
      <c r="B68">
        <f t="shared" ref="B68:BM71" si="32">+B20/B42</f>
        <v>0.15570934256055363</v>
      </c>
      <c r="C68">
        <f t="shared" si="32"/>
        <v>0.13252032520325202</v>
      </c>
      <c r="D68">
        <f t="shared" si="32"/>
        <v>0.12126111560226355</v>
      </c>
      <c r="E68">
        <f t="shared" si="32"/>
        <v>0.14717906786590351</v>
      </c>
      <c r="F68">
        <f t="shared" si="32"/>
        <v>0.12668024439918535</v>
      </c>
      <c r="G68">
        <f t="shared" si="32"/>
        <v>0.10633116883116883</v>
      </c>
      <c r="H68">
        <f t="shared" si="32"/>
        <v>0.11216730038022814</v>
      </c>
      <c r="I68">
        <f t="shared" si="32"/>
        <v>0.11731044349070101</v>
      </c>
      <c r="J68">
        <f t="shared" si="32"/>
        <v>0.12283236994219653</v>
      </c>
      <c r="K68">
        <f t="shared" si="32"/>
        <v>0.13371675053918045</v>
      </c>
      <c r="L68">
        <f t="shared" si="32"/>
        <v>0.14449213161659513</v>
      </c>
      <c r="M68">
        <f t="shared" si="32"/>
        <v>0.11656005685856433</v>
      </c>
      <c r="N68">
        <f t="shared" si="32"/>
        <v>0.11030383091149273</v>
      </c>
      <c r="O68">
        <f t="shared" si="32"/>
        <v>8.8679245283018862E-2</v>
      </c>
      <c r="P68">
        <f t="shared" si="32"/>
        <v>8.6317135549872123E-2</v>
      </c>
      <c r="Q68">
        <f t="shared" si="32"/>
        <v>0.10932475884244373</v>
      </c>
      <c r="R68">
        <f t="shared" si="32"/>
        <v>0.12445278298936835</v>
      </c>
      <c r="S68">
        <f t="shared" si="32"/>
        <v>0.11215580926796508</v>
      </c>
      <c r="T68">
        <f t="shared" si="32"/>
        <v>0.11849529780564264</v>
      </c>
      <c r="U68">
        <f t="shared" si="32"/>
        <v>0.10205278592375366</v>
      </c>
      <c r="V68">
        <f t="shared" si="32"/>
        <v>9.1024020227560051E-2</v>
      </c>
      <c r="W68">
        <f t="shared" si="32"/>
        <v>0.12937685459940654</v>
      </c>
      <c r="X68">
        <f t="shared" si="32"/>
        <v>9.1710758377425039E-2</v>
      </c>
      <c r="Y68">
        <f t="shared" si="32"/>
        <v>9.3309859154929578E-2</v>
      </c>
      <c r="Z68">
        <f t="shared" si="32"/>
        <v>9.4587493431424072E-2</v>
      </c>
      <c r="AA68">
        <f t="shared" si="32"/>
        <v>0.1119606772255598</v>
      </c>
      <c r="AB68">
        <f t="shared" si="32"/>
        <v>8.5199344620425999E-2</v>
      </c>
      <c r="AC68">
        <f t="shared" si="32"/>
        <v>9.1403699673558214E-2</v>
      </c>
      <c r="AD68">
        <f t="shared" si="32"/>
        <v>9.0422685928303909E-2</v>
      </c>
      <c r="AE68">
        <f t="shared" si="32"/>
        <v>9.927611168562564E-2</v>
      </c>
      <c r="AF68">
        <f t="shared" si="32"/>
        <v>9.6562184024266931E-2</v>
      </c>
      <c r="AG68">
        <f t="shared" si="32"/>
        <v>6.9352371239163699E-2</v>
      </c>
      <c r="AH68">
        <f t="shared" si="32"/>
        <v>0.10627753303964757</v>
      </c>
      <c r="AI68">
        <f t="shared" si="32"/>
        <v>8.9048106448311154E-2</v>
      </c>
      <c r="AJ68">
        <f t="shared" si="32"/>
        <v>7.8669482576557551E-2</v>
      </c>
      <c r="AK68">
        <f t="shared" si="32"/>
        <v>8.7614926987560848E-2</v>
      </c>
      <c r="AL68">
        <f t="shared" si="32"/>
        <v>8.7777777777777774E-2</v>
      </c>
      <c r="AM68">
        <f t="shared" si="32"/>
        <v>9.387296233839236E-2</v>
      </c>
      <c r="AN68">
        <f t="shared" si="32"/>
        <v>0.10396039603960396</v>
      </c>
      <c r="AO68">
        <f t="shared" si="32"/>
        <v>7.0467993544916618E-2</v>
      </c>
      <c r="AP68">
        <f t="shared" si="32"/>
        <v>9.42970073404856E-2</v>
      </c>
      <c r="AQ68">
        <f t="shared" si="32"/>
        <v>7.0801317233809002E-2</v>
      </c>
      <c r="AR68">
        <f t="shared" si="32"/>
        <v>9.5438175270108047E-2</v>
      </c>
      <c r="AS68">
        <f t="shared" si="32"/>
        <v>5.4732041049030788E-2</v>
      </c>
      <c r="AT68">
        <f t="shared" si="32"/>
        <v>5.9083379348426286E-2</v>
      </c>
      <c r="AU68">
        <f t="shared" si="32"/>
        <v>4.8985650667986144E-2</v>
      </c>
      <c r="AV68">
        <f t="shared" si="32"/>
        <v>7.2911392405063294E-2</v>
      </c>
      <c r="AW68">
        <f t="shared" si="32"/>
        <v>4.5023696682464455E-2</v>
      </c>
      <c r="AX68">
        <f t="shared" si="32"/>
        <v>5.2296498408367441E-2</v>
      </c>
      <c r="AY68">
        <f t="shared" si="32"/>
        <v>5.2707930367504832E-2</v>
      </c>
      <c r="AZ68" s="10">
        <f t="shared" si="32"/>
        <v>6.0638297872340423E-2</v>
      </c>
      <c r="BA68" s="10">
        <f t="shared" si="32"/>
        <v>8.1003584229390677E-2</v>
      </c>
      <c r="BB68" s="10">
        <f t="shared" si="32"/>
        <v>8.1765557163531108E-2</v>
      </c>
      <c r="BC68" s="10">
        <f t="shared" si="32"/>
        <v>6.7193675889328064E-2</v>
      </c>
      <c r="BD68" s="10">
        <f t="shared" si="32"/>
        <v>5.5524397083567024E-2</v>
      </c>
      <c r="BE68">
        <f t="shared" si="32"/>
        <v>5.6878378914293662E-2</v>
      </c>
      <c r="BF68">
        <f t="shared" si="32"/>
        <v>7.7468221027223741E-2</v>
      </c>
      <c r="BG68">
        <f t="shared" si="32"/>
        <v>7.7218098643361835E-2</v>
      </c>
      <c r="BH68">
        <f t="shared" si="32"/>
        <v>7.5824405828467625E-2</v>
      </c>
      <c r="BI68">
        <f t="shared" si="32"/>
        <v>8.0142445402154219E-2</v>
      </c>
      <c r="BJ68">
        <f t="shared" si="32"/>
        <v>7.6447515349271064E-2</v>
      </c>
      <c r="BK68">
        <f t="shared" si="32"/>
        <v>8.9458293945312559E-2</v>
      </c>
      <c r="BL68">
        <f t="shared" si="32"/>
        <v>8.2291397405412303E-2</v>
      </c>
      <c r="BM68">
        <f t="shared" si="32"/>
        <v>7.6809900680833668E-2</v>
      </c>
      <c r="BN68">
        <f t="shared" si="28"/>
        <v>5.43379688390166E-2</v>
      </c>
      <c r="BO68">
        <f t="shared" si="28"/>
        <v>6.629428253125938E-2</v>
      </c>
      <c r="BP68">
        <f t="shared" si="28"/>
        <v>5.0071861417227657E-2</v>
      </c>
      <c r="BQ68">
        <f t="shared" si="28"/>
        <v>6.9205060411535527E-2</v>
      </c>
      <c r="BR68">
        <f t="shared" si="28"/>
        <v>5.9392166793113023E-2</v>
      </c>
      <c r="BS68">
        <f t="shared" si="28"/>
        <v>4.7410384557786518E-2</v>
      </c>
      <c r="BT68">
        <f t="shared" si="28"/>
        <v>3.5329341317365266E-2</v>
      </c>
      <c r="BU68">
        <f t="shared" si="28"/>
        <v>3.793103448275862E-2</v>
      </c>
      <c r="BV68">
        <f t="shared" si="28"/>
        <v>4.7486033519553071E-2</v>
      </c>
      <c r="BW68">
        <f t="shared" si="28"/>
        <v>4.7093023255813951E-2</v>
      </c>
      <c r="BX68">
        <f t="shared" si="28"/>
        <v>4.0119760479041915E-2</v>
      </c>
      <c r="BY68">
        <f t="shared" si="28"/>
        <v>4.189944134078212E-2</v>
      </c>
      <c r="BZ68">
        <f t="shared" si="28"/>
        <v>3.6612021857923498E-2</v>
      </c>
      <c r="CA68">
        <f t="shared" si="28"/>
        <v>3.130148270181219E-2</v>
      </c>
      <c r="CB68">
        <f t="shared" si="28"/>
        <v>3.5616438356164383E-2</v>
      </c>
      <c r="CC68">
        <f t="shared" si="28"/>
        <v>3.8379530916844352E-2</v>
      </c>
      <c r="CD68">
        <f t="shared" si="28"/>
        <v>3.2203389830508473E-2</v>
      </c>
      <c r="CE68">
        <f t="shared" si="28"/>
        <v>3.5888077858880776E-2</v>
      </c>
      <c r="CF68">
        <f t="shared" si="28"/>
        <v>2.8356481481481483E-2</v>
      </c>
      <c r="CG68">
        <f t="shared" si="28"/>
        <v>3.0821917808219176E-2</v>
      </c>
      <c r="CH68">
        <f t="shared" si="28"/>
        <v>2.171361502347418E-2</v>
      </c>
      <c r="CI68">
        <f t="shared" si="28"/>
        <v>2.5252525252525252E-2</v>
      </c>
      <c r="CJ68">
        <f t="shared" si="28"/>
        <v>2.5982256020278833E-2</v>
      </c>
      <c r="CK68">
        <f t="shared" si="28"/>
        <v>1.8518518518518517E-2</v>
      </c>
      <c r="CL68">
        <f t="shared" si="28"/>
        <v>2.0227560050568902E-2</v>
      </c>
      <c r="CM68">
        <f t="shared" si="28"/>
        <v>1.8147684605757195E-2</v>
      </c>
      <c r="CN68">
        <f t="shared" si="28"/>
        <v>1.5262515262515262E-2</v>
      </c>
      <c r="CO68">
        <f t="shared" si="28"/>
        <v>1.9028871391076115E-2</v>
      </c>
      <c r="CP68">
        <f t="shared" si="28"/>
        <v>1.8170019467878003E-2</v>
      </c>
      <c r="CQ68">
        <f t="shared" si="28"/>
        <v>2.25705329153605E-2</v>
      </c>
      <c r="CR68">
        <f t="shared" si="28"/>
        <v>1.772816808929744E-2</v>
      </c>
      <c r="CS68">
        <f t="shared" si="25"/>
        <v>2.1470396877033181E-2</v>
      </c>
      <c r="CT68">
        <f t="shared" si="22"/>
        <v>2.4072869225764477E-2</v>
      </c>
      <c r="CU68">
        <f t="shared" si="28"/>
        <v>1.4857881136950904E-2</v>
      </c>
      <c r="CV68">
        <f t="shared" si="28"/>
        <v>1.36275146009085E-2</v>
      </c>
      <c r="CW68">
        <f t="shared" si="28"/>
        <v>1.1897307451471509E-2</v>
      </c>
      <c r="CX68">
        <f t="shared" si="28"/>
        <v>1.7964071856287425E-2</v>
      </c>
      <c r="CY68">
        <f t="shared" si="28"/>
        <v>1.7857142857142856E-2</v>
      </c>
      <c r="CZ68">
        <f t="shared" si="28"/>
        <v>1.7461383478844864E-2</v>
      </c>
      <c r="DA68">
        <f t="shared" si="28"/>
        <v>1.8505338078291814E-2</v>
      </c>
      <c r="DB68">
        <f t="shared" si="28"/>
        <v>1.4905149051490514E-2</v>
      </c>
      <c r="DC68">
        <f t="shared" si="28"/>
        <v>1.0494752623688156E-2</v>
      </c>
      <c r="DD68">
        <f t="shared" si="28"/>
        <v>5.7096247960848291E-3</v>
      </c>
      <c r="DE68">
        <f t="shared" si="31"/>
        <v>1.676829268292683E-2</v>
      </c>
      <c r="DF68">
        <f t="shared" si="31"/>
        <v>1.1547344110854504E-2</v>
      </c>
      <c r="DG68">
        <f t="shared" si="31"/>
        <v>4.8780487804878049E-3</v>
      </c>
      <c r="DH68">
        <f t="shared" si="31"/>
        <v>8.7873462214411256E-3</v>
      </c>
      <c r="DI68">
        <f t="shared" si="31"/>
        <v>1.8001800180018002E-2</v>
      </c>
      <c r="DJ68">
        <f t="shared" si="31"/>
        <v>7.073386383731211E-3</v>
      </c>
      <c r="DK68">
        <f t="shared" si="29"/>
        <v>9.4991364421416237E-3</v>
      </c>
      <c r="DL68">
        <f t="shared" si="29"/>
        <v>7.9646017699115043E-3</v>
      </c>
      <c r="DM68">
        <f t="shared" si="29"/>
        <v>9.5735422106179285E-3</v>
      </c>
      <c r="DN68">
        <f t="shared" si="29"/>
        <v>9.5155709342560554E-3</v>
      </c>
      <c r="DO68">
        <f t="shared" si="29"/>
        <v>2.7223230490018148E-3</v>
      </c>
      <c r="DP68">
        <f t="shared" si="29"/>
        <v>8.6114101184068884E-3</v>
      </c>
      <c r="DQ68">
        <f t="shared" si="29"/>
        <v>6.2047569803516025E-3</v>
      </c>
      <c r="DR68">
        <f t="shared" si="29"/>
        <v>4.7393364928909956E-3</v>
      </c>
      <c r="DS68">
        <f t="shared" si="29"/>
        <v>3.5714285714285713E-3</v>
      </c>
      <c r="DU68">
        <f t="shared" si="20"/>
        <v>9.0612274757308382E-3</v>
      </c>
    </row>
    <row r="69" spans="1:125" x14ac:dyDescent="0.35">
      <c r="A69" t="s">
        <v>19</v>
      </c>
      <c r="B69">
        <f t="shared" si="32"/>
        <v>8.9506172839506168E-2</v>
      </c>
      <c r="C69">
        <f t="shared" si="32"/>
        <v>8.5180055401662055E-2</v>
      </c>
      <c r="D69">
        <f t="shared" si="32"/>
        <v>0.11330049261083744</v>
      </c>
      <c r="E69">
        <f t="shared" si="32"/>
        <v>0.12046543463381246</v>
      </c>
      <c r="F69">
        <f t="shared" si="32"/>
        <v>8.9315525876460772E-2</v>
      </c>
      <c r="G69">
        <f t="shared" si="32"/>
        <v>6.7979371776840131E-2</v>
      </c>
      <c r="H69">
        <f t="shared" si="32"/>
        <v>8.3925642427556041E-2</v>
      </c>
      <c r="I69">
        <f t="shared" si="32"/>
        <v>0.10622950819672131</v>
      </c>
      <c r="J69">
        <f t="shared" si="32"/>
        <v>0.10253317249698432</v>
      </c>
      <c r="K69">
        <f t="shared" si="32"/>
        <v>0.10960629921259843</v>
      </c>
      <c r="L69">
        <f t="shared" si="32"/>
        <v>0.11733684904416612</v>
      </c>
      <c r="M69">
        <f t="shared" si="32"/>
        <v>0.14812611540749554</v>
      </c>
      <c r="N69">
        <f t="shared" si="32"/>
        <v>0.14378698224852071</v>
      </c>
      <c r="O69">
        <f t="shared" si="32"/>
        <v>7.8048780487804878E-2</v>
      </c>
      <c r="P69">
        <f t="shared" si="32"/>
        <v>0.10887096774193548</v>
      </c>
      <c r="Q69">
        <f t="shared" si="32"/>
        <v>0.10151430173864273</v>
      </c>
      <c r="R69">
        <f t="shared" si="32"/>
        <v>0.1341317365269461</v>
      </c>
      <c r="S69">
        <f t="shared" si="32"/>
        <v>0.12555309734513273</v>
      </c>
      <c r="T69">
        <f t="shared" si="32"/>
        <v>0.11446360153256704</v>
      </c>
      <c r="U69">
        <f t="shared" si="32"/>
        <v>8.5050184891706293E-2</v>
      </c>
      <c r="V69">
        <f t="shared" si="32"/>
        <v>0.1253291205897841</v>
      </c>
      <c r="W69">
        <f t="shared" si="32"/>
        <v>0.1275239107332625</v>
      </c>
      <c r="X69">
        <f t="shared" si="32"/>
        <v>8.6885245901639346E-2</v>
      </c>
      <c r="Y69">
        <f t="shared" si="32"/>
        <v>0.10982658959537572</v>
      </c>
      <c r="Z69">
        <f t="shared" si="32"/>
        <v>9.4069529652351741E-2</v>
      </c>
      <c r="AA69">
        <f t="shared" si="32"/>
        <v>0.11351909184726522</v>
      </c>
      <c r="AB69">
        <f t="shared" si="32"/>
        <v>8.133268005879471E-2</v>
      </c>
      <c r="AC69">
        <f t="shared" si="32"/>
        <v>8.9929994614970379E-2</v>
      </c>
      <c r="AD69">
        <f t="shared" si="32"/>
        <v>8.908467939304944E-2</v>
      </c>
      <c r="AE69">
        <f t="shared" si="32"/>
        <v>0.10309777347531461</v>
      </c>
      <c r="AF69">
        <f t="shared" si="32"/>
        <v>0.10126012601260126</v>
      </c>
      <c r="AG69">
        <f t="shared" si="32"/>
        <v>9.8812351543942994E-2</v>
      </c>
      <c r="AH69">
        <f t="shared" si="32"/>
        <v>9.8571428571428574E-2</v>
      </c>
      <c r="AI69">
        <f t="shared" si="32"/>
        <v>0.10356164383561643</v>
      </c>
      <c r="AJ69">
        <f t="shared" si="32"/>
        <v>0.18921389396709323</v>
      </c>
      <c r="AK69">
        <f t="shared" si="32"/>
        <v>0.10867293625914315</v>
      </c>
      <c r="AL69">
        <f t="shared" si="32"/>
        <v>7.9306722689075626E-2</v>
      </c>
      <c r="AM69">
        <f t="shared" si="32"/>
        <v>0.12241958713394142</v>
      </c>
      <c r="AN69">
        <f t="shared" si="32"/>
        <v>9.7724922440537751E-2</v>
      </c>
      <c r="AO69">
        <f t="shared" si="32"/>
        <v>0.10996240601503759</v>
      </c>
      <c r="AP69">
        <f t="shared" si="32"/>
        <v>9.1165413533834588E-2</v>
      </c>
      <c r="AQ69">
        <f t="shared" si="32"/>
        <v>8.3931777378815076E-2</v>
      </c>
      <c r="AR69">
        <f t="shared" si="32"/>
        <v>8.5494716618635933E-2</v>
      </c>
      <c r="AS69">
        <f t="shared" si="32"/>
        <v>0.1037344398340249</v>
      </c>
      <c r="AT69">
        <f t="shared" si="32"/>
        <v>6.8867155664221677E-2</v>
      </c>
      <c r="AU69">
        <f t="shared" si="32"/>
        <v>5.6966897613548881E-2</v>
      </c>
      <c r="AV69">
        <f t="shared" si="32"/>
        <v>5.0527081061432208E-2</v>
      </c>
      <c r="AW69">
        <f t="shared" si="32"/>
        <v>5.1724137931034482E-2</v>
      </c>
      <c r="AX69">
        <f t="shared" si="32"/>
        <v>4.4514546091833161E-2</v>
      </c>
      <c r="AY69">
        <f t="shared" si="32"/>
        <v>3.1824417009602195E-2</v>
      </c>
      <c r="AZ69" s="10">
        <f t="shared" si="32"/>
        <v>6.1080262493690057E-2</v>
      </c>
      <c r="BA69" s="10">
        <f t="shared" si="32"/>
        <v>9.4423320659062102E-2</v>
      </c>
      <c r="BB69" s="10">
        <f t="shared" si="32"/>
        <v>7.4519230769230768E-2</v>
      </c>
      <c r="BC69" s="10">
        <f t="shared" si="32"/>
        <v>8.1353919239904982E-2</v>
      </c>
      <c r="BD69" s="10">
        <f t="shared" si="32"/>
        <v>6.7259588660366867E-2</v>
      </c>
      <c r="BE69">
        <f t="shared" si="32"/>
        <v>7.6848412857859275E-2</v>
      </c>
      <c r="BF69">
        <f t="shared" si="32"/>
        <v>5.3121578636154063E-2</v>
      </c>
      <c r="BG69">
        <f t="shared" si="32"/>
        <v>8.0292353167342956E-2</v>
      </c>
      <c r="BH69">
        <f t="shared" si="32"/>
        <v>7.3474350815118647E-2</v>
      </c>
      <c r="BI69">
        <f t="shared" si="32"/>
        <v>8.4039771609261182E-2</v>
      </c>
      <c r="BJ69">
        <f t="shared" si="32"/>
        <v>5.8247254699944684E-2</v>
      </c>
      <c r="BK69">
        <f t="shared" si="32"/>
        <v>5.955536758268197E-2</v>
      </c>
      <c r="BL69">
        <f t="shared" si="32"/>
        <v>6.9366880507739426E-2</v>
      </c>
      <c r="BM69">
        <f t="shared" si="32"/>
        <v>5.5594154636435196E-2</v>
      </c>
      <c r="BN69">
        <f t="shared" si="28"/>
        <v>5.7350208346135814E-2</v>
      </c>
      <c r="BO69">
        <f t="shared" si="28"/>
        <v>5.5665358289177125E-2</v>
      </c>
      <c r="BP69">
        <f t="shared" si="28"/>
        <v>5.5925652559427268E-2</v>
      </c>
      <c r="BQ69">
        <f t="shared" si="28"/>
        <v>6.1835022672090505E-2</v>
      </c>
      <c r="BR69">
        <f t="shared" si="28"/>
        <v>4.8476873028886251E-2</v>
      </c>
      <c r="BS69">
        <f t="shared" si="28"/>
        <v>4.9482057916805627E-2</v>
      </c>
      <c r="BT69">
        <f t="shared" si="28"/>
        <v>5.0454545454545453E-2</v>
      </c>
      <c r="BU69">
        <f t="shared" si="28"/>
        <v>4.4019138755980861E-2</v>
      </c>
      <c r="BV69">
        <f t="shared" ref="BN69:DD71" si="33">+BV21/BV43</f>
        <v>5.0724637681159424E-2</v>
      </c>
      <c r="BW69">
        <f t="shared" si="33"/>
        <v>6.4285714285714279E-2</v>
      </c>
      <c r="BX69">
        <f t="shared" si="33"/>
        <v>4.0686274509803923E-2</v>
      </c>
      <c r="BY69">
        <f t="shared" si="33"/>
        <v>5.2558139534883724E-2</v>
      </c>
      <c r="BZ69">
        <f t="shared" si="33"/>
        <v>4.1314553990610327E-2</v>
      </c>
      <c r="CA69">
        <f t="shared" si="33"/>
        <v>4.3340380549682873E-2</v>
      </c>
      <c r="CB69">
        <f t="shared" si="33"/>
        <v>3.8360483447188648E-2</v>
      </c>
      <c r="CC69">
        <f t="shared" si="33"/>
        <v>2.7333677153171736E-2</v>
      </c>
      <c r="CD69">
        <f t="shared" si="33"/>
        <v>3.411633109619687E-2</v>
      </c>
      <c r="CE69">
        <f t="shared" si="33"/>
        <v>1.952662721893491E-2</v>
      </c>
      <c r="CF69">
        <f t="shared" si="33"/>
        <v>2.4067388688327317E-2</v>
      </c>
      <c r="CG69">
        <f t="shared" si="33"/>
        <v>1.9277108433734941E-2</v>
      </c>
      <c r="CH69">
        <f t="shared" si="33"/>
        <v>3.215434083601286E-2</v>
      </c>
      <c r="CI69">
        <f t="shared" si="33"/>
        <v>2.406679764243615E-2</v>
      </c>
      <c r="CJ69">
        <f t="shared" si="33"/>
        <v>2.4590163934426229E-2</v>
      </c>
      <c r="CK69">
        <f t="shared" si="33"/>
        <v>2.0670391061452513E-2</v>
      </c>
      <c r="CL69">
        <f t="shared" si="33"/>
        <v>1.7714285714285714E-2</v>
      </c>
      <c r="CM69">
        <f t="shared" si="33"/>
        <v>2.3630504833512353E-2</v>
      </c>
      <c r="CN69">
        <f t="shared" si="33"/>
        <v>2.0042194092827006E-2</v>
      </c>
      <c r="CO69">
        <f t="shared" si="33"/>
        <v>2.4403771491957847E-2</v>
      </c>
      <c r="CP69">
        <f t="shared" si="33"/>
        <v>1.3625592417061612E-2</v>
      </c>
      <c r="CQ69">
        <f t="shared" si="33"/>
        <v>1.9448946515397084E-2</v>
      </c>
      <c r="CR69">
        <f t="shared" si="33"/>
        <v>1.4925373134328358E-2</v>
      </c>
      <c r="CS69">
        <f t="shared" si="25"/>
        <v>1.6296296296296295E-2</v>
      </c>
      <c r="CT69">
        <f t="shared" si="22"/>
        <v>1.9259259259259261E-2</v>
      </c>
      <c r="CU69">
        <f t="shared" si="33"/>
        <v>1.7432646592709985E-2</v>
      </c>
      <c r="CV69">
        <f t="shared" si="33"/>
        <v>1.7983651226158037E-2</v>
      </c>
      <c r="CW69">
        <f t="shared" si="33"/>
        <v>1.0118043844856661E-2</v>
      </c>
      <c r="CX69">
        <f t="shared" si="33"/>
        <v>1.6453382084095063E-2</v>
      </c>
      <c r="CY69">
        <f t="shared" si="33"/>
        <v>1.5634047481181239E-2</v>
      </c>
      <c r="CZ69">
        <f t="shared" si="33"/>
        <v>1.4634146341463415E-2</v>
      </c>
      <c r="DA69">
        <f t="shared" si="33"/>
        <v>1.1472275334608031E-2</v>
      </c>
      <c r="DB69">
        <f t="shared" si="33"/>
        <v>1.0902483343428226E-2</v>
      </c>
      <c r="DC69">
        <f t="shared" si="33"/>
        <v>7.3475385745775165E-3</v>
      </c>
      <c r="DD69">
        <f t="shared" si="33"/>
        <v>9.11854103343465E-3</v>
      </c>
      <c r="DE69">
        <f t="shared" si="31"/>
        <v>7.7519379844961239E-3</v>
      </c>
      <c r="DF69">
        <f t="shared" si="31"/>
        <v>7.1581961345740875E-3</v>
      </c>
      <c r="DG69">
        <f t="shared" si="31"/>
        <v>8.8170462894930201E-3</v>
      </c>
      <c r="DH69">
        <f t="shared" si="31"/>
        <v>6.2063615205585725E-3</v>
      </c>
      <c r="DI69">
        <f t="shared" si="31"/>
        <v>1.4251781472684086E-2</v>
      </c>
      <c r="DJ69">
        <f t="shared" si="31"/>
        <v>7.4515648286140089E-3</v>
      </c>
      <c r="DK69">
        <f t="shared" si="29"/>
        <v>7.656967840735069E-3</v>
      </c>
      <c r="DL69">
        <f t="shared" si="29"/>
        <v>9.324009324009324E-3</v>
      </c>
      <c r="DM69">
        <f t="shared" si="29"/>
        <v>8.658008658008658E-3</v>
      </c>
      <c r="DN69">
        <f t="shared" si="29"/>
        <v>8.778346744696415E-3</v>
      </c>
      <c r="DO69">
        <f t="shared" si="29"/>
        <v>9.7481722177091799E-3</v>
      </c>
      <c r="DP69">
        <f t="shared" si="29"/>
        <v>6.9686411149825784E-3</v>
      </c>
      <c r="DQ69">
        <f t="shared" si="29"/>
        <v>6.3810391978122152E-3</v>
      </c>
      <c r="DR69">
        <f t="shared" si="29"/>
        <v>7.3597056117755289E-3</v>
      </c>
      <c r="DS69">
        <f t="shared" si="29"/>
        <v>1.0367577756833177E-2</v>
      </c>
      <c r="DU69">
        <f t="shared" si="20"/>
        <v>8.4479010258434288E-3</v>
      </c>
    </row>
    <row r="70" spans="1:125" x14ac:dyDescent="0.35">
      <c r="A70" t="s">
        <v>20</v>
      </c>
      <c r="B70">
        <f>+B22/B44</f>
        <v>0.10478359908883828</v>
      </c>
      <c r="C70">
        <f t="shared" si="32"/>
        <v>4.8979591836734691E-2</v>
      </c>
      <c r="D70">
        <f t="shared" si="32"/>
        <v>8.4937712344280866E-2</v>
      </c>
      <c r="E70">
        <f t="shared" si="32"/>
        <v>7.6856649395509499E-2</v>
      </c>
      <c r="F70">
        <f t="shared" si="32"/>
        <v>6.9162995594713658E-2</v>
      </c>
      <c r="G70">
        <f t="shared" si="32"/>
        <v>6.1151079136690649E-2</v>
      </c>
      <c r="H70">
        <f t="shared" si="32"/>
        <v>6.6822429906542052E-2</v>
      </c>
      <c r="I70">
        <f t="shared" si="32"/>
        <v>7.2957198443579771E-2</v>
      </c>
      <c r="J70">
        <f t="shared" si="32"/>
        <v>8.0074487895716945E-2</v>
      </c>
      <c r="K70">
        <f t="shared" si="32"/>
        <v>8.3293441838200102E-2</v>
      </c>
      <c r="L70">
        <f t="shared" si="32"/>
        <v>8.6699507389162558E-2</v>
      </c>
      <c r="M70">
        <f t="shared" si="32"/>
        <v>6.1309030654515324E-2</v>
      </c>
      <c r="N70">
        <f t="shared" si="32"/>
        <v>8.1118881118881117E-2</v>
      </c>
      <c r="O70">
        <f t="shared" si="32"/>
        <v>7.4130105900151289E-2</v>
      </c>
      <c r="P70">
        <f t="shared" si="32"/>
        <v>8.1699346405228759E-2</v>
      </c>
      <c r="Q70">
        <f t="shared" si="32"/>
        <v>8.6486486486486491E-2</v>
      </c>
      <c r="R70">
        <f t="shared" si="32"/>
        <v>0.12113617376775271</v>
      </c>
      <c r="S70">
        <f t="shared" si="32"/>
        <v>0.11906677393403058</v>
      </c>
      <c r="T70">
        <f t="shared" si="32"/>
        <v>7.792207792207792E-2</v>
      </c>
      <c r="U70">
        <f t="shared" si="32"/>
        <v>8.8193456614509252E-2</v>
      </c>
      <c r="V70">
        <f t="shared" si="32"/>
        <v>0.11837048424289008</v>
      </c>
      <c r="W70">
        <f t="shared" si="32"/>
        <v>0.11215686274509803</v>
      </c>
      <c r="X70">
        <f t="shared" si="32"/>
        <v>7.3170731707317069E-2</v>
      </c>
      <c r="Y70">
        <f t="shared" si="32"/>
        <v>0.11228334589299171</v>
      </c>
      <c r="Z70">
        <f t="shared" si="32"/>
        <v>0.13423831070889894</v>
      </c>
      <c r="AA70">
        <f t="shared" si="32"/>
        <v>0.14058956916099774</v>
      </c>
      <c r="AB70">
        <f t="shared" si="32"/>
        <v>8.9494163424124515E-2</v>
      </c>
      <c r="AC70">
        <f t="shared" si="32"/>
        <v>9.1059602649006616E-2</v>
      </c>
      <c r="AD70">
        <f t="shared" si="32"/>
        <v>0.11980830670926518</v>
      </c>
      <c r="AE70">
        <f t="shared" si="32"/>
        <v>0.11407160699417153</v>
      </c>
      <c r="AF70">
        <f t="shared" si="32"/>
        <v>0.10833333333333334</v>
      </c>
      <c r="AG70">
        <f t="shared" si="32"/>
        <v>0.1285475792988314</v>
      </c>
      <c r="AH70">
        <f t="shared" si="32"/>
        <v>0.12489379779099405</v>
      </c>
      <c r="AI70">
        <f t="shared" si="32"/>
        <v>8.6599817684594349E-2</v>
      </c>
      <c r="AJ70">
        <f t="shared" si="32"/>
        <v>0.11234042553191489</v>
      </c>
      <c r="AK70">
        <f t="shared" si="32"/>
        <v>0.13854489164086686</v>
      </c>
      <c r="AL70">
        <f t="shared" si="32"/>
        <v>0.10775510204081633</v>
      </c>
      <c r="AM70">
        <f t="shared" si="32"/>
        <v>9.7802976612331685E-2</v>
      </c>
      <c r="AN70">
        <f t="shared" si="32"/>
        <v>8.9036055923473148E-2</v>
      </c>
      <c r="AO70">
        <f t="shared" si="32"/>
        <v>0.11806043569922699</v>
      </c>
      <c r="AP70">
        <f t="shared" si="32"/>
        <v>9.7885669537979642E-2</v>
      </c>
      <c r="AQ70">
        <f t="shared" si="32"/>
        <v>7.4051026757934041E-2</v>
      </c>
      <c r="AR70">
        <f t="shared" si="32"/>
        <v>0.13730355665839536</v>
      </c>
      <c r="AS70">
        <f t="shared" si="32"/>
        <v>0.10030864197530864</v>
      </c>
      <c r="AT70">
        <f t="shared" si="32"/>
        <v>5.9187887130075709E-2</v>
      </c>
      <c r="AU70">
        <f t="shared" si="32"/>
        <v>6.5737051792828682E-2</v>
      </c>
      <c r="AV70">
        <f t="shared" si="32"/>
        <v>5.6485355648535567E-2</v>
      </c>
      <c r="AW70">
        <f t="shared" si="32"/>
        <v>3.3576642335766425E-2</v>
      </c>
      <c r="AX70">
        <f t="shared" si="32"/>
        <v>4.8908954100827691E-2</v>
      </c>
      <c r="AY70">
        <f t="shared" si="32"/>
        <v>2.8620492272467088E-2</v>
      </c>
      <c r="AZ70" s="10">
        <f t="shared" si="32"/>
        <v>7.6666666666666661E-2</v>
      </c>
      <c r="BA70" s="10">
        <f t="shared" si="32"/>
        <v>8.00561797752809E-2</v>
      </c>
      <c r="BB70" s="10">
        <f t="shared" si="32"/>
        <v>7.8313253012048195E-2</v>
      </c>
      <c r="BC70" s="10">
        <f t="shared" si="32"/>
        <v>6.1583577712609971E-2</v>
      </c>
      <c r="BD70" s="10">
        <f t="shared" si="32"/>
        <v>0.1069364161849711</v>
      </c>
      <c r="BE70">
        <f t="shared" si="32"/>
        <v>7.9234683968850361E-2</v>
      </c>
      <c r="BF70">
        <f t="shared" si="32"/>
        <v>6.7882336240646352E-2</v>
      </c>
      <c r="BG70">
        <f t="shared" si="32"/>
        <v>7.8672344309850942E-2</v>
      </c>
      <c r="BH70">
        <f t="shared" si="32"/>
        <v>8.632584780320611E-2</v>
      </c>
      <c r="BI70">
        <f t="shared" si="32"/>
        <v>7.6720761486802583E-2</v>
      </c>
      <c r="BJ70">
        <f t="shared" si="32"/>
        <v>6.8752429662923512E-2</v>
      </c>
      <c r="BK70">
        <f t="shared" si="32"/>
        <v>5.1110666560072383E-2</v>
      </c>
      <c r="BL70">
        <f t="shared" si="32"/>
        <v>3.9058095589249331E-2</v>
      </c>
      <c r="BM70">
        <f t="shared" si="32"/>
        <v>5.8558583546750254E-2</v>
      </c>
      <c r="BN70">
        <f t="shared" si="33"/>
        <v>6.3186113095293248E-2</v>
      </c>
      <c r="BO70">
        <f t="shared" si="33"/>
        <v>6.9886149543177303E-2</v>
      </c>
      <c r="BP70">
        <f t="shared" si="33"/>
        <v>4.374810871878497E-2</v>
      </c>
      <c r="BQ70">
        <f t="shared" si="33"/>
        <v>7.907889090491016E-2</v>
      </c>
      <c r="BR70">
        <f t="shared" si="33"/>
        <v>0.10538712243851858</v>
      </c>
      <c r="BS70">
        <f t="shared" si="33"/>
        <v>7.686307029081306E-2</v>
      </c>
      <c r="BT70">
        <f t="shared" si="33"/>
        <v>4.9484536082474224E-2</v>
      </c>
      <c r="BU70">
        <f t="shared" si="33"/>
        <v>5.6862745098039215E-2</v>
      </c>
      <c r="BV70">
        <f t="shared" si="33"/>
        <v>5.5913978494623658E-2</v>
      </c>
      <c r="BW70">
        <f t="shared" si="33"/>
        <v>4.1176470588235294E-2</v>
      </c>
      <c r="BX70">
        <f t="shared" si="33"/>
        <v>5.0515463917525774E-2</v>
      </c>
      <c r="BY70">
        <f t="shared" si="33"/>
        <v>5.1818181818181819E-2</v>
      </c>
      <c r="BZ70">
        <f t="shared" si="33"/>
        <v>6.3725490196078427E-2</v>
      </c>
      <c r="CA70">
        <f t="shared" si="33"/>
        <v>4.8371174728529122E-2</v>
      </c>
      <c r="CB70">
        <f t="shared" si="33"/>
        <v>4.6666666666666669E-2</v>
      </c>
      <c r="CC70">
        <f t="shared" si="33"/>
        <v>3.0235162374020158E-2</v>
      </c>
      <c r="CD70">
        <f t="shared" si="33"/>
        <v>3.8209606986899562E-2</v>
      </c>
      <c r="CE70">
        <f t="shared" si="33"/>
        <v>0.04</v>
      </c>
      <c r="CF70">
        <f t="shared" si="33"/>
        <v>2.5179856115107913E-2</v>
      </c>
      <c r="CG70">
        <f t="shared" si="33"/>
        <v>3.2359081419624215E-2</v>
      </c>
      <c r="CH70">
        <f t="shared" si="33"/>
        <v>3.3333333333333333E-2</v>
      </c>
      <c r="CI70">
        <f t="shared" si="33"/>
        <v>2.6315789473684209E-2</v>
      </c>
      <c r="CJ70">
        <f t="shared" si="33"/>
        <v>3.4090909090909088E-2</v>
      </c>
      <c r="CK70">
        <f t="shared" si="33"/>
        <v>2.1634615384615384E-2</v>
      </c>
      <c r="CL70">
        <f t="shared" si="33"/>
        <v>1.6355140186915886E-2</v>
      </c>
      <c r="CM70">
        <f t="shared" si="33"/>
        <v>1.3274336283185841E-2</v>
      </c>
      <c r="CN70">
        <f t="shared" si="33"/>
        <v>1.9428571428571427E-2</v>
      </c>
      <c r="CO70">
        <f t="shared" si="33"/>
        <v>1.5670910871694418E-2</v>
      </c>
      <c r="CP70">
        <f t="shared" si="33"/>
        <v>1.4176663031624863E-2</v>
      </c>
      <c r="CQ70">
        <f t="shared" si="33"/>
        <v>2.1890547263681594E-2</v>
      </c>
      <c r="CR70">
        <f t="shared" si="33"/>
        <v>2.5667351129363448E-2</v>
      </c>
      <c r="CS70">
        <f t="shared" si="25"/>
        <v>1.6359918200408999E-2</v>
      </c>
      <c r="CT70">
        <f t="shared" si="22"/>
        <v>1.6359918200408999E-2</v>
      </c>
      <c r="CU70">
        <f t="shared" si="33"/>
        <v>1.3118062563067608E-2</v>
      </c>
      <c r="CV70">
        <f t="shared" si="33"/>
        <v>1.3348164627363738E-2</v>
      </c>
      <c r="CW70">
        <f t="shared" si="33"/>
        <v>1.6166281755196306E-2</v>
      </c>
      <c r="CX70">
        <f t="shared" si="33"/>
        <v>1.5276145710928319E-2</v>
      </c>
      <c r="CY70">
        <f t="shared" si="33"/>
        <v>2.056555269922879E-2</v>
      </c>
      <c r="CZ70">
        <f t="shared" si="33"/>
        <v>1.7879948914431672E-2</v>
      </c>
      <c r="DA70">
        <f t="shared" si="33"/>
        <v>2.0718232044198894E-2</v>
      </c>
      <c r="DB70">
        <f t="shared" si="33"/>
        <v>1.6506189821182942E-2</v>
      </c>
      <c r="DC70">
        <f t="shared" si="33"/>
        <v>1.6320474777448073E-2</v>
      </c>
      <c r="DD70">
        <f t="shared" si="33"/>
        <v>2.8286189683860232E-2</v>
      </c>
      <c r="DE70">
        <f t="shared" si="31"/>
        <v>9.3603744149765994E-3</v>
      </c>
      <c r="DF70">
        <f t="shared" si="31"/>
        <v>1.386748844375963E-2</v>
      </c>
      <c r="DG70">
        <f t="shared" si="31"/>
        <v>5.9084194977843431E-3</v>
      </c>
      <c r="DH70">
        <f t="shared" si="31"/>
        <v>4.5045045045045045E-3</v>
      </c>
      <c r="DI70">
        <f t="shared" si="31"/>
        <v>4.3541364296081275E-3</v>
      </c>
      <c r="DJ70">
        <f t="shared" si="31"/>
        <v>7.1839080459770114E-3</v>
      </c>
      <c r="DK70">
        <f t="shared" si="31"/>
        <v>1.2195121951219513E-2</v>
      </c>
      <c r="DL70">
        <f t="shared" si="31"/>
        <v>9.5238095238095247E-3</v>
      </c>
      <c r="DM70">
        <f t="shared" si="31"/>
        <v>7.8864353312302835E-3</v>
      </c>
      <c r="DN70">
        <f t="shared" si="31"/>
        <v>6.5573770491803279E-3</v>
      </c>
      <c r="DO70">
        <f t="shared" si="31"/>
        <v>5.2539404553415062E-3</v>
      </c>
      <c r="DP70">
        <f t="shared" si="31"/>
        <v>1.4134275618374558E-2</v>
      </c>
      <c r="DQ70">
        <f t="shared" si="29"/>
        <v>2.012072434607646E-3</v>
      </c>
      <c r="DR70">
        <f t="shared" si="29"/>
        <v>7.677543186180422E-3</v>
      </c>
      <c r="DS70">
        <f t="shared" si="29"/>
        <v>1.020408163265306E-2</v>
      </c>
      <c r="DU70">
        <f t="shared" si="20"/>
        <v>9.3591466703024147E-3</v>
      </c>
    </row>
    <row r="71" spans="1:125" x14ac:dyDescent="0.35">
      <c r="A71" t="s">
        <v>29</v>
      </c>
      <c r="B71">
        <f>+B23/B45</f>
        <v>0.10605119487397431</v>
      </c>
      <c r="C71">
        <f t="shared" si="32"/>
        <v>0.10204081632653061</v>
      </c>
      <c r="D71">
        <f t="shared" si="32"/>
        <v>0.10524646323669352</v>
      </c>
      <c r="E71">
        <f t="shared" si="32"/>
        <v>0.10911042944785276</v>
      </c>
      <c r="F71">
        <f t="shared" si="32"/>
        <v>9.5447073549593572E-2</v>
      </c>
      <c r="G71">
        <f t="shared" si="32"/>
        <v>8.22332314812068E-2</v>
      </c>
      <c r="H71">
        <f t="shared" si="32"/>
        <v>9.550811982305614E-2</v>
      </c>
      <c r="I71">
        <f t="shared" si="32"/>
        <v>0.10880351784175654</v>
      </c>
      <c r="J71">
        <f t="shared" si="32"/>
        <v>0.10061936936936937</v>
      </c>
      <c r="K71">
        <f t="shared" si="32"/>
        <v>0.10570072921186334</v>
      </c>
      <c r="L71">
        <f t="shared" si="32"/>
        <v>0.11072452473070393</v>
      </c>
      <c r="M71">
        <f t="shared" si="32"/>
        <v>0.10920702501330495</v>
      </c>
      <c r="N71">
        <f t="shared" si="32"/>
        <v>0.11761251946593143</v>
      </c>
      <c r="O71">
        <f t="shared" si="32"/>
        <v>9.3315143246930424E-2</v>
      </c>
      <c r="P71">
        <f t="shared" si="32"/>
        <v>9.4475123797671826E-2</v>
      </c>
      <c r="Q71">
        <f t="shared" si="32"/>
        <v>0.11279497150162468</v>
      </c>
      <c r="R71">
        <f t="shared" si="32"/>
        <v>0.12394884135954358</v>
      </c>
      <c r="S71">
        <f t="shared" si="32"/>
        <v>0.10693295602960383</v>
      </c>
      <c r="T71">
        <f t="shared" si="32"/>
        <v>0.11011461170786864</v>
      </c>
      <c r="U71">
        <f t="shared" si="32"/>
        <v>0.10038874914246512</v>
      </c>
      <c r="V71">
        <f t="shared" si="32"/>
        <v>0.11730011440193212</v>
      </c>
      <c r="W71">
        <f t="shared" si="32"/>
        <v>0.10711671000479665</v>
      </c>
      <c r="X71">
        <f t="shared" si="32"/>
        <v>9.2446784729639103E-2</v>
      </c>
      <c r="Y71">
        <f t="shared" si="32"/>
        <v>0.10355198727349556</v>
      </c>
      <c r="Z71">
        <f t="shared" si="32"/>
        <v>0.10759312320916906</v>
      </c>
      <c r="AA71">
        <f t="shared" si="32"/>
        <v>0.11520857542628121</v>
      </c>
      <c r="AB71">
        <f t="shared" si="32"/>
        <v>9.340697593464993E-2</v>
      </c>
      <c r="AC71">
        <f t="shared" si="32"/>
        <v>0.1065235149959155</v>
      </c>
      <c r="AD71">
        <f t="shared" si="32"/>
        <v>9.9525004481089807E-2</v>
      </c>
      <c r="AE71">
        <f t="shared" si="32"/>
        <v>9.2729903246224793E-2</v>
      </c>
      <c r="AF71">
        <f t="shared" si="32"/>
        <v>9.9656657991995981E-2</v>
      </c>
      <c r="AG71">
        <f t="shared" si="32"/>
        <v>0.109287911891916</v>
      </c>
      <c r="AH71">
        <f t="shared" si="32"/>
        <v>9.8930541994959237E-2</v>
      </c>
      <c r="AI71">
        <f t="shared" si="32"/>
        <v>9.2814227349194908E-2</v>
      </c>
      <c r="AJ71">
        <f t="shared" si="32"/>
        <v>9.7686819562050997E-2</v>
      </c>
      <c r="AK71">
        <f t="shared" si="32"/>
        <v>0.10194034173182739</v>
      </c>
      <c r="AL71">
        <f t="shared" si="32"/>
        <v>9.1596123175070543E-2</v>
      </c>
      <c r="AM71">
        <f t="shared" si="32"/>
        <v>9.6233398650119747E-2</v>
      </c>
      <c r="AN71">
        <f t="shared" si="32"/>
        <v>9.8822570202153431E-2</v>
      </c>
      <c r="AO71">
        <f t="shared" si="32"/>
        <v>8.2170687322103489E-2</v>
      </c>
      <c r="AP71">
        <f t="shared" si="32"/>
        <v>8.6494299769193109E-2</v>
      </c>
      <c r="AQ71">
        <f t="shared" si="32"/>
        <v>8.2778241922008722E-2</v>
      </c>
      <c r="AR71">
        <f t="shared" si="32"/>
        <v>9.2664635575345683E-2</v>
      </c>
      <c r="AS71">
        <f t="shared" si="32"/>
        <v>7.7915804002760519E-2</v>
      </c>
      <c r="AT71">
        <f t="shared" si="32"/>
        <v>6.5714962427061124E-2</v>
      </c>
      <c r="AU71">
        <f t="shared" si="32"/>
        <v>5.511457546881058E-2</v>
      </c>
      <c r="AV71">
        <f t="shared" si="32"/>
        <v>5.0709690595323188E-2</v>
      </c>
      <c r="AW71">
        <f t="shared" si="32"/>
        <v>6.1031964053749013E-2</v>
      </c>
      <c r="AX71">
        <f t="shared" si="32"/>
        <v>5.4123553541909016E-2</v>
      </c>
      <c r="AY71">
        <f t="shared" si="32"/>
        <v>4.0882727401329748E-2</v>
      </c>
      <c r="AZ71">
        <f t="shared" si="32"/>
        <v>6.4248681505318678E-2</v>
      </c>
      <c r="BA71">
        <f t="shared" si="32"/>
        <v>7.2007436024050894E-2</v>
      </c>
      <c r="BB71">
        <f t="shared" si="32"/>
        <v>6.3811992974826467E-2</v>
      </c>
      <c r="BC71">
        <f t="shared" si="32"/>
        <v>6.1190618708167818E-2</v>
      </c>
      <c r="BD71">
        <f t="shared" si="32"/>
        <v>5.5017739483020779E-2</v>
      </c>
      <c r="BE71">
        <f t="shared" si="32"/>
        <v>5.636669470179409E-2</v>
      </c>
      <c r="BF71">
        <f t="shared" si="32"/>
        <v>5.2339827164097956E-2</v>
      </c>
      <c r="BG71">
        <f t="shared" si="32"/>
        <v>6.3094716278724691E-2</v>
      </c>
      <c r="BH71">
        <f t="shared" si="32"/>
        <v>6.1171025967192837E-2</v>
      </c>
      <c r="BI71">
        <f t="shared" si="32"/>
        <v>6.8300212715367944E-2</v>
      </c>
      <c r="BJ71">
        <f t="shared" si="32"/>
        <v>6.0721071467254716E-2</v>
      </c>
      <c r="BK71">
        <f t="shared" si="32"/>
        <v>5.4530001778534468E-2</v>
      </c>
      <c r="BL71">
        <f t="shared" si="32"/>
        <v>5.526338588077892E-2</v>
      </c>
      <c r="BM71">
        <f t="shared" si="32"/>
        <v>5.4701643289281614E-2</v>
      </c>
      <c r="BN71">
        <f t="shared" si="33"/>
        <v>5.5404335849666253E-2</v>
      </c>
      <c r="BO71">
        <f t="shared" si="33"/>
        <v>5.8563183138331816E-2</v>
      </c>
      <c r="BP71">
        <f t="shared" si="33"/>
        <v>4.8395358788298704E-2</v>
      </c>
      <c r="BQ71">
        <f t="shared" si="33"/>
        <v>5.6197071846770356E-2</v>
      </c>
      <c r="BR71">
        <f t="shared" si="33"/>
        <v>5.8630039935955648E-2</v>
      </c>
      <c r="BS71">
        <f t="shared" si="33"/>
        <v>5.305036696922831E-2</v>
      </c>
      <c r="BT71">
        <f t="shared" si="33"/>
        <v>4.7669271233213267E-2</v>
      </c>
      <c r="BU71">
        <f t="shared" si="33"/>
        <v>4.4366516129867105E-2</v>
      </c>
      <c r="BV71">
        <f t="shared" si="33"/>
        <v>4.5719524154692361E-2</v>
      </c>
      <c r="BW71">
        <f t="shared" si="33"/>
        <v>4.5699148758854689E-2</v>
      </c>
      <c r="BX71">
        <f t="shared" si="33"/>
        <v>4.3702138239681755E-2</v>
      </c>
      <c r="BY71">
        <f t="shared" si="33"/>
        <v>4.6019241892255175E-2</v>
      </c>
      <c r="BZ71">
        <f t="shared" si="33"/>
        <v>4.3837905470669986E-2</v>
      </c>
      <c r="CA71">
        <f t="shared" si="33"/>
        <v>4.7846070542606374E-2</v>
      </c>
      <c r="CB71">
        <f t="shared" si="33"/>
        <v>4.2600365451806996E-2</v>
      </c>
      <c r="CC71">
        <f t="shared" si="33"/>
        <v>3.7399364804439034E-2</v>
      </c>
      <c r="CD71">
        <f t="shared" si="33"/>
        <v>3.6070423207214077E-2</v>
      </c>
      <c r="CE71">
        <f t="shared" si="33"/>
        <v>3.1789197047339839E-2</v>
      </c>
      <c r="CF71">
        <f t="shared" si="33"/>
        <v>2.9125766497241919E-2</v>
      </c>
      <c r="CG71">
        <f t="shared" si="33"/>
        <v>2.7992264462421285E-2</v>
      </c>
      <c r="CH71">
        <f t="shared" si="33"/>
        <v>3.0111887061650522E-2</v>
      </c>
      <c r="CI71">
        <f t="shared" si="33"/>
        <v>2.9390961209143026E-2</v>
      </c>
      <c r="CJ71">
        <f t="shared" si="33"/>
        <v>2.7764409728649169E-2</v>
      </c>
      <c r="CK71">
        <f t="shared" si="33"/>
        <v>2.4039183305809939E-2</v>
      </c>
      <c r="CL71">
        <f t="shared" si="33"/>
        <v>2.0984665052461663E-2</v>
      </c>
      <c r="CM71">
        <f t="shared" si="33"/>
        <v>2.1126505806171543E-2</v>
      </c>
      <c r="CN71">
        <f t="shared" si="33"/>
        <v>2.0404187109229706E-2</v>
      </c>
      <c r="CO71">
        <f t="shared" si="33"/>
        <v>2.1121099174157713E-2</v>
      </c>
      <c r="CP71">
        <f t="shared" si="33"/>
        <v>1.8628609408463184E-2</v>
      </c>
      <c r="CQ71">
        <f t="shared" si="33"/>
        <v>2.0199670793673512E-2</v>
      </c>
      <c r="CR71">
        <f t="shared" si="33"/>
        <v>1.901086335048599E-2</v>
      </c>
      <c r="CS71">
        <f t="shared" si="25"/>
        <v>1.9147959903995482E-2</v>
      </c>
      <c r="CT71">
        <f t="shared" si="25"/>
        <v>1.8106734434561626E-2</v>
      </c>
      <c r="CU71">
        <f t="shared" si="25"/>
        <v>1.6892552000994723E-2</v>
      </c>
      <c r="CV71">
        <f t="shared" si="25"/>
        <v>1.6460529440780459E-2</v>
      </c>
      <c r="CW71">
        <f t="shared" si="25"/>
        <v>1.4360361695819746E-2</v>
      </c>
      <c r="CX71">
        <f t="shared" si="25"/>
        <v>1.4065817409766455E-2</v>
      </c>
      <c r="CY71">
        <f t="shared" si="25"/>
        <v>1.3880065453845413E-2</v>
      </c>
      <c r="CZ71">
        <f t="shared" si="25"/>
        <v>1.369757599076568E-2</v>
      </c>
      <c r="DA71">
        <f t="shared" si="25"/>
        <v>1.509605682290327E-2</v>
      </c>
      <c r="DB71">
        <f t="shared" si="25"/>
        <v>1.3186593296648324E-2</v>
      </c>
      <c r="DC71">
        <f t="shared" si="25"/>
        <v>1.2762523624471767E-2</v>
      </c>
      <c r="DD71">
        <f t="shared" si="25"/>
        <v>1.0615306381896771E-2</v>
      </c>
      <c r="DE71">
        <f t="shared" si="25"/>
        <v>1.2084081546424421E-2</v>
      </c>
      <c r="DF71">
        <f t="shared" si="25"/>
        <v>1.0401881236362095E-2</v>
      </c>
      <c r="DG71">
        <f t="shared" si="25"/>
        <v>9.0362729636417893E-3</v>
      </c>
      <c r="DH71">
        <f t="shared" si="25"/>
        <v>7.1384693596559974E-3</v>
      </c>
      <c r="DI71">
        <f t="shared" si="31"/>
        <v>9.3449912994908596E-3</v>
      </c>
      <c r="DJ71">
        <f t="shared" si="31"/>
        <v>8.6626171540693433E-3</v>
      </c>
      <c r="DK71">
        <f t="shared" si="31"/>
        <v>8.637928546395366E-3</v>
      </c>
      <c r="DL71">
        <f t="shared" si="31"/>
        <v>7.7704102776626604E-3</v>
      </c>
      <c r="DM71">
        <f t="shared" si="31"/>
        <v>7.4550444435341826E-3</v>
      </c>
      <c r="DN71">
        <f t="shared" si="31"/>
        <v>7.6498540348185554E-3</v>
      </c>
      <c r="DO71">
        <f t="shared" si="31"/>
        <v>6.4724919093851136E-3</v>
      </c>
      <c r="DP71">
        <f t="shared" si="31"/>
        <v>6.6897980579616089E-3</v>
      </c>
      <c r="DQ71">
        <f t="shared" si="31"/>
        <v>6.8467504680395832E-3</v>
      </c>
      <c r="DR71">
        <f t="shared" si="31"/>
        <v>6.1771529194734045E-3</v>
      </c>
      <c r="DS71">
        <f t="shared" si="31"/>
        <v>6.2865751202271277E-3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dete</vt:lpstr>
      <vt:lpstr>Descripción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marcelo.dianessi</dc:creator>
  <cp:lastModifiedBy>IECON</cp:lastModifiedBy>
  <dcterms:created xsi:type="dcterms:W3CDTF">2023-10-09T18:36:25Z</dcterms:created>
  <dcterms:modified xsi:type="dcterms:W3CDTF">2025-12-25T21:49:50Z</dcterms:modified>
</cp:coreProperties>
</file>